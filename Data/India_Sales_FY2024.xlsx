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\powerbi project\"/>
    </mc:Choice>
  </mc:AlternateContent>
  <bookViews>
    <workbookView xWindow="0" yWindow="0" windowWidth="20490" windowHeight="7905" tabRatio="500"/>
  </bookViews>
  <sheets>
    <sheet name="Data" sheetId="1" r:id="rId1"/>
    <sheet name="Summary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8" i="2" l="1"/>
  <c r="F38" i="2"/>
  <c r="E38" i="2"/>
  <c r="D38" i="2"/>
  <c r="C38" i="2"/>
  <c r="B38" i="2"/>
</calcChain>
</file>

<file path=xl/sharedStrings.xml><?xml version="1.0" encoding="utf-8"?>
<sst xmlns="http://schemas.openxmlformats.org/spreadsheetml/2006/main" count="522" uniqueCount="100">
  <si>
    <t>Segment</t>
  </si>
  <si>
    <t>State</t>
  </si>
  <si>
    <t>Product</t>
  </si>
  <si>
    <t>Discount Band</t>
  </si>
  <si>
    <t>Units Sold</t>
  </si>
  <si>
    <t>Manufacturing Price (₹)</t>
  </si>
  <si>
    <t>Sale Price (₹)</t>
  </si>
  <si>
    <t>Gross Sales (₹)</t>
  </si>
  <si>
    <t>Discounts (₹)</t>
  </si>
  <si>
    <t>Net Sales (₹)</t>
  </si>
  <si>
    <t>COGS (₹)</t>
  </si>
  <si>
    <t>Profit (₹)</t>
  </si>
  <si>
    <t>Date</t>
  </si>
  <si>
    <t>Month Number</t>
  </si>
  <si>
    <t>Month Name</t>
  </si>
  <si>
    <t>Year</t>
  </si>
  <si>
    <t>Government</t>
  </si>
  <si>
    <t>Maharashtra</t>
  </si>
  <si>
    <t>Basmati Rice</t>
  </si>
  <si>
    <t>None</t>
  </si>
  <si>
    <t>2024-01-01</t>
  </si>
  <si>
    <t>January</t>
  </si>
  <si>
    <t>Gujarat</t>
  </si>
  <si>
    <t>Midmarket</t>
  </si>
  <si>
    <t>Tamil Nadu</t>
  </si>
  <si>
    <t>2024-06-01</t>
  </si>
  <si>
    <t>June</t>
  </si>
  <si>
    <t>Rajasthan</t>
  </si>
  <si>
    <t>Uttar Pradesh</t>
  </si>
  <si>
    <t>Madhya Pradesh</t>
  </si>
  <si>
    <t>2024-12-01</t>
  </si>
  <si>
    <t>December</t>
  </si>
  <si>
    <t>Punjab</t>
  </si>
  <si>
    <t>Spices</t>
  </si>
  <si>
    <t>2024-03-01</t>
  </si>
  <si>
    <t>March</t>
  </si>
  <si>
    <t>Channel Partners</t>
  </si>
  <si>
    <t>Haryana</t>
  </si>
  <si>
    <t>West Bengal</t>
  </si>
  <si>
    <t>Kerala</t>
  </si>
  <si>
    <t>Enterprise</t>
  </si>
  <si>
    <t>Karnataka</t>
  </si>
  <si>
    <t>2024-07-01</t>
  </si>
  <si>
    <t>July</t>
  </si>
  <si>
    <t>Small Business</t>
  </si>
  <si>
    <t>Andhra Pradesh</t>
  </si>
  <si>
    <t>2024-08-01</t>
  </si>
  <si>
    <t>August</t>
  </si>
  <si>
    <t>Telangana</t>
  </si>
  <si>
    <t>2024-09-01</t>
  </si>
  <si>
    <t>September</t>
  </si>
  <si>
    <t>Odisha</t>
  </si>
  <si>
    <t>2023-10-01</t>
  </si>
  <si>
    <t>October</t>
  </si>
  <si>
    <t>Bihar</t>
  </si>
  <si>
    <t>Delhi</t>
  </si>
  <si>
    <t>Textiles</t>
  </si>
  <si>
    <t>2024-02-01</t>
  </si>
  <si>
    <t>February</t>
  </si>
  <si>
    <t>Chhattisgarh</t>
  </si>
  <si>
    <t>Jharkhand</t>
  </si>
  <si>
    <t>Uttarakhand</t>
  </si>
  <si>
    <t>Himachal Pradesh</t>
  </si>
  <si>
    <t>Goa</t>
  </si>
  <si>
    <t>Assam</t>
  </si>
  <si>
    <t>2023-09-01</t>
  </si>
  <si>
    <t>Tripura</t>
  </si>
  <si>
    <t>Meghalaya</t>
  </si>
  <si>
    <t>Nagaland</t>
  </si>
  <si>
    <t>2024-10-01</t>
  </si>
  <si>
    <t>Manipur</t>
  </si>
  <si>
    <t>Pharmaceuticals</t>
  </si>
  <si>
    <t>Sikkim</t>
  </si>
  <si>
    <t>Mizoram</t>
  </si>
  <si>
    <t>Arunachal Pradesh</t>
  </si>
  <si>
    <t>Lakshadweep</t>
  </si>
  <si>
    <t>Dadra &amp; NH</t>
  </si>
  <si>
    <t>Steel Products</t>
  </si>
  <si>
    <t>Daman &amp; Diu</t>
  </si>
  <si>
    <t>2024-04-01</t>
  </si>
  <si>
    <t>April</t>
  </si>
  <si>
    <t>Puducherry</t>
  </si>
  <si>
    <t>Andaman &amp; Nicobar</t>
  </si>
  <si>
    <t>Chandigarh</t>
  </si>
  <si>
    <t>Low</t>
  </si>
  <si>
    <t>2024-05-01</t>
  </si>
  <si>
    <t>May</t>
  </si>
  <si>
    <t>2024-11-01</t>
  </si>
  <si>
    <t>November</t>
  </si>
  <si>
    <t>Medium</t>
  </si>
  <si>
    <t>High</t>
  </si>
  <si>
    <t>2023-12-01</t>
  </si>
  <si>
    <t>2023-11-01</t>
  </si>
  <si>
    <t>Indian Sales Financial Summary — FY 2023-24</t>
  </si>
  <si>
    <t>Total Gross Sales (₹)</t>
  </si>
  <si>
    <t>Total Discounts (₹)</t>
  </si>
  <si>
    <t>Total COGS (₹)</t>
  </si>
  <si>
    <t>Total Profit (₹)</t>
  </si>
  <si>
    <t>Profit Margin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</si>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</sst>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₹#,##0;&quot;(₹&quot;#,##0\);\-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5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vertical="center"/>
    </xf>
    <xf numFmtId="0" fontId="6" fillId="2" borderId="0" xfId="0" applyFont="1" applyFill="1"/>
    <xf numFmtId="164" fontId="6" fillId="2" borderId="1" xfId="0" applyNumberFormat="1" applyFont="1" applyFill="1" applyBorder="1"/>
    <xf numFmtId="165" fontId="6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"/>
  <sheetViews>
    <sheetView tabSelected="1" topLeftCell="E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0" customWidth="1"/>
    <col min="3" max="3" width="18" customWidth="1"/>
    <col min="4" max="4" width="14" customWidth="1"/>
    <col min="5" max="5" width="12" customWidth="1"/>
    <col min="6" max="6" width="22" customWidth="1"/>
    <col min="7" max="7" width="18" customWidth="1"/>
    <col min="8" max="8" width="20" customWidth="1"/>
    <col min="9" max="10" width="18" customWidth="1"/>
    <col min="11" max="12" width="14" customWidth="1"/>
    <col min="13" max="13" width="12" customWidth="1"/>
    <col min="14" max="15" width="14" customWidth="1"/>
    <col min="16" max="16" width="8" customWidth="1"/>
  </cols>
  <sheetData>
    <row r="1" spans="1:16" ht="34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4">
        <v>1618</v>
      </c>
      <c r="F2" s="3">
        <v>30</v>
      </c>
      <c r="G2" s="3">
        <v>200</v>
      </c>
      <c r="H2" s="5">
        <v>323600</v>
      </c>
      <c r="I2" s="5">
        <v>0</v>
      </c>
      <c r="J2" s="5">
        <v>323600</v>
      </c>
      <c r="K2" s="5">
        <v>161800</v>
      </c>
      <c r="L2" s="5">
        <v>161800</v>
      </c>
      <c r="M2" s="6" t="s">
        <v>20</v>
      </c>
      <c r="N2" s="6">
        <v>1</v>
      </c>
      <c r="O2" s="6" t="s">
        <v>21</v>
      </c>
      <c r="P2" s="6">
        <v>2024</v>
      </c>
    </row>
    <row r="3" spans="1:16" x14ac:dyDescent="0.25">
      <c r="A3" s="7" t="s">
        <v>16</v>
      </c>
      <c r="B3" s="7" t="s">
        <v>22</v>
      </c>
      <c r="C3" s="7" t="s">
        <v>18</v>
      </c>
      <c r="D3" s="7" t="s">
        <v>19</v>
      </c>
      <c r="E3" s="8">
        <v>1321</v>
      </c>
      <c r="F3" s="7">
        <v>30</v>
      </c>
      <c r="G3" s="7">
        <v>200</v>
      </c>
      <c r="H3" s="9">
        <v>264200</v>
      </c>
      <c r="I3" s="9">
        <v>0</v>
      </c>
      <c r="J3" s="9">
        <v>264200</v>
      </c>
      <c r="K3" s="9">
        <v>132100</v>
      </c>
      <c r="L3" s="9">
        <v>132100</v>
      </c>
      <c r="M3" s="10" t="s">
        <v>20</v>
      </c>
      <c r="N3" s="10">
        <v>1</v>
      </c>
      <c r="O3" s="10" t="s">
        <v>21</v>
      </c>
      <c r="P3" s="10">
        <v>2024</v>
      </c>
    </row>
    <row r="4" spans="1:16" x14ac:dyDescent="0.25">
      <c r="A4" s="3" t="s">
        <v>23</v>
      </c>
      <c r="B4" s="3" t="s">
        <v>24</v>
      </c>
      <c r="C4" s="3" t="s">
        <v>18</v>
      </c>
      <c r="D4" s="3" t="s">
        <v>19</v>
      </c>
      <c r="E4" s="4">
        <v>2178</v>
      </c>
      <c r="F4" s="3">
        <v>30</v>
      </c>
      <c r="G4" s="3">
        <v>150</v>
      </c>
      <c r="H4" s="5">
        <v>326700</v>
      </c>
      <c r="I4" s="5">
        <v>0</v>
      </c>
      <c r="J4" s="5">
        <v>326700</v>
      </c>
      <c r="K4" s="5">
        <v>217800</v>
      </c>
      <c r="L4" s="5">
        <v>108900</v>
      </c>
      <c r="M4" s="6" t="s">
        <v>25</v>
      </c>
      <c r="N4" s="6">
        <v>6</v>
      </c>
      <c r="O4" s="6" t="s">
        <v>26</v>
      </c>
      <c r="P4" s="6">
        <v>2024</v>
      </c>
    </row>
    <row r="5" spans="1:16" x14ac:dyDescent="0.25">
      <c r="A5" s="7" t="s">
        <v>23</v>
      </c>
      <c r="B5" s="7" t="s">
        <v>27</v>
      </c>
      <c r="C5" s="7" t="s">
        <v>18</v>
      </c>
      <c r="D5" s="7" t="s">
        <v>19</v>
      </c>
      <c r="E5" s="8">
        <v>888</v>
      </c>
      <c r="F5" s="7">
        <v>30</v>
      </c>
      <c r="G5" s="7">
        <v>150</v>
      </c>
      <c r="H5" s="9">
        <v>133200</v>
      </c>
      <c r="I5" s="9">
        <v>0</v>
      </c>
      <c r="J5" s="9">
        <v>133200</v>
      </c>
      <c r="K5" s="9">
        <v>88800</v>
      </c>
      <c r="L5" s="9">
        <v>44400</v>
      </c>
      <c r="M5" s="10" t="s">
        <v>25</v>
      </c>
      <c r="N5" s="10">
        <v>6</v>
      </c>
      <c r="O5" s="10" t="s">
        <v>26</v>
      </c>
      <c r="P5" s="10">
        <v>2024</v>
      </c>
    </row>
    <row r="6" spans="1:16" x14ac:dyDescent="0.25">
      <c r="A6" s="3" t="s">
        <v>23</v>
      </c>
      <c r="B6" s="3" t="s">
        <v>28</v>
      </c>
      <c r="C6" s="3" t="s">
        <v>18</v>
      </c>
      <c r="D6" s="3" t="s">
        <v>19</v>
      </c>
      <c r="E6" s="4">
        <v>2470</v>
      </c>
      <c r="F6" s="3">
        <v>30</v>
      </c>
      <c r="G6" s="3">
        <v>150</v>
      </c>
      <c r="H6" s="5">
        <v>370500</v>
      </c>
      <c r="I6" s="5">
        <v>0</v>
      </c>
      <c r="J6" s="5">
        <v>370500</v>
      </c>
      <c r="K6" s="5">
        <v>247000</v>
      </c>
      <c r="L6" s="5">
        <v>123500</v>
      </c>
      <c r="M6" s="6" t="s">
        <v>25</v>
      </c>
      <c r="N6" s="6">
        <v>6</v>
      </c>
      <c r="O6" s="6" t="s">
        <v>26</v>
      </c>
      <c r="P6" s="6">
        <v>2024</v>
      </c>
    </row>
    <row r="7" spans="1:16" x14ac:dyDescent="0.25">
      <c r="A7" s="7" t="s">
        <v>16</v>
      </c>
      <c r="B7" s="7" t="s">
        <v>29</v>
      </c>
      <c r="C7" s="7" t="s">
        <v>18</v>
      </c>
      <c r="D7" s="7" t="s">
        <v>19</v>
      </c>
      <c r="E7" s="8">
        <v>1513</v>
      </c>
      <c r="F7" s="7">
        <v>30</v>
      </c>
      <c r="G7" s="7">
        <v>3500</v>
      </c>
      <c r="H7" s="9">
        <v>5295500</v>
      </c>
      <c r="I7" s="9">
        <v>0</v>
      </c>
      <c r="J7" s="9">
        <v>5295500</v>
      </c>
      <c r="K7" s="9">
        <v>3933800</v>
      </c>
      <c r="L7" s="9">
        <v>1361700</v>
      </c>
      <c r="M7" s="10" t="s">
        <v>30</v>
      </c>
      <c r="N7" s="10">
        <v>12</v>
      </c>
      <c r="O7" s="10" t="s">
        <v>31</v>
      </c>
      <c r="P7" s="10">
        <v>2024</v>
      </c>
    </row>
    <row r="8" spans="1:16" x14ac:dyDescent="0.25">
      <c r="A8" s="3" t="s">
        <v>23</v>
      </c>
      <c r="B8" s="3" t="s">
        <v>32</v>
      </c>
      <c r="C8" s="3" t="s">
        <v>33</v>
      </c>
      <c r="D8" s="3" t="s">
        <v>19</v>
      </c>
      <c r="E8" s="4">
        <v>921</v>
      </c>
      <c r="F8" s="3">
        <v>50</v>
      </c>
      <c r="G8" s="3">
        <v>150</v>
      </c>
      <c r="H8" s="5">
        <v>138150</v>
      </c>
      <c r="I8" s="5">
        <v>0</v>
      </c>
      <c r="J8" s="5">
        <v>138150</v>
      </c>
      <c r="K8" s="5">
        <v>92100</v>
      </c>
      <c r="L8" s="5">
        <v>46050</v>
      </c>
      <c r="M8" s="6" t="s">
        <v>34</v>
      </c>
      <c r="N8" s="6">
        <v>3</v>
      </c>
      <c r="O8" s="6" t="s">
        <v>35</v>
      </c>
      <c r="P8" s="6">
        <v>2024</v>
      </c>
    </row>
    <row r="9" spans="1:16" x14ac:dyDescent="0.25">
      <c r="A9" s="7" t="s">
        <v>36</v>
      </c>
      <c r="B9" s="7" t="s">
        <v>37</v>
      </c>
      <c r="C9" s="7" t="s">
        <v>33</v>
      </c>
      <c r="D9" s="7" t="s">
        <v>19</v>
      </c>
      <c r="E9" s="8">
        <v>2518</v>
      </c>
      <c r="F9" s="7">
        <v>50</v>
      </c>
      <c r="G9" s="7">
        <v>120</v>
      </c>
      <c r="H9" s="9">
        <v>302160</v>
      </c>
      <c r="I9" s="9">
        <v>0</v>
      </c>
      <c r="J9" s="9">
        <v>302160</v>
      </c>
      <c r="K9" s="9">
        <v>75540</v>
      </c>
      <c r="L9" s="9">
        <v>226620</v>
      </c>
      <c r="M9" s="10" t="s">
        <v>25</v>
      </c>
      <c r="N9" s="10">
        <v>6</v>
      </c>
      <c r="O9" s="10" t="s">
        <v>26</v>
      </c>
      <c r="P9" s="10">
        <v>2024</v>
      </c>
    </row>
    <row r="10" spans="1:16" x14ac:dyDescent="0.25">
      <c r="A10" s="3" t="s">
        <v>16</v>
      </c>
      <c r="B10" s="3" t="s">
        <v>38</v>
      </c>
      <c r="C10" s="3" t="s">
        <v>33</v>
      </c>
      <c r="D10" s="3" t="s">
        <v>19</v>
      </c>
      <c r="E10" s="4">
        <v>1899</v>
      </c>
      <c r="F10" s="3">
        <v>50</v>
      </c>
      <c r="G10" s="3">
        <v>200</v>
      </c>
      <c r="H10" s="5">
        <v>379800</v>
      </c>
      <c r="I10" s="5">
        <v>0</v>
      </c>
      <c r="J10" s="5">
        <v>379800</v>
      </c>
      <c r="K10" s="5">
        <v>189900</v>
      </c>
      <c r="L10" s="5">
        <v>189900</v>
      </c>
      <c r="M10" s="6" t="s">
        <v>25</v>
      </c>
      <c r="N10" s="6">
        <v>6</v>
      </c>
      <c r="O10" s="6" t="s">
        <v>26</v>
      </c>
      <c r="P10" s="6">
        <v>2024</v>
      </c>
    </row>
    <row r="11" spans="1:16" x14ac:dyDescent="0.25">
      <c r="A11" s="7" t="s">
        <v>23</v>
      </c>
      <c r="B11" s="7" t="s">
        <v>39</v>
      </c>
      <c r="C11" s="7" t="s">
        <v>33</v>
      </c>
      <c r="D11" s="7" t="s">
        <v>19</v>
      </c>
      <c r="E11" s="8">
        <v>2470</v>
      </c>
      <c r="F11" s="7">
        <v>50</v>
      </c>
      <c r="G11" s="7">
        <v>150</v>
      </c>
      <c r="H11" s="9">
        <v>370500</v>
      </c>
      <c r="I11" s="9">
        <v>0</v>
      </c>
      <c r="J11" s="9">
        <v>370500</v>
      </c>
      <c r="K11" s="9">
        <v>247000</v>
      </c>
      <c r="L11" s="9">
        <v>123500</v>
      </c>
      <c r="M11" s="10" t="s">
        <v>25</v>
      </c>
      <c r="N11" s="10">
        <v>6</v>
      </c>
      <c r="O11" s="10" t="s">
        <v>26</v>
      </c>
      <c r="P11" s="10">
        <v>2024</v>
      </c>
    </row>
    <row r="12" spans="1:16" x14ac:dyDescent="0.25">
      <c r="A12" s="3" t="s">
        <v>40</v>
      </c>
      <c r="B12" s="3" t="s">
        <v>41</v>
      </c>
      <c r="C12" s="3" t="s">
        <v>33</v>
      </c>
      <c r="D12" s="3" t="s">
        <v>19</v>
      </c>
      <c r="E12" s="4">
        <v>2665</v>
      </c>
      <c r="F12" s="3">
        <v>50</v>
      </c>
      <c r="G12" s="3">
        <v>1250</v>
      </c>
      <c r="H12" s="5">
        <v>3331875</v>
      </c>
      <c r="I12" s="5">
        <v>0</v>
      </c>
      <c r="J12" s="5">
        <v>3331875</v>
      </c>
      <c r="K12" s="5">
        <v>3198600</v>
      </c>
      <c r="L12" s="5">
        <v>133275</v>
      </c>
      <c r="M12" s="6" t="s">
        <v>42</v>
      </c>
      <c r="N12" s="6">
        <v>7</v>
      </c>
      <c r="O12" s="6" t="s">
        <v>43</v>
      </c>
      <c r="P12" s="6">
        <v>2024</v>
      </c>
    </row>
    <row r="13" spans="1:16" x14ac:dyDescent="0.25">
      <c r="A13" s="7" t="s">
        <v>44</v>
      </c>
      <c r="B13" s="7" t="s">
        <v>45</v>
      </c>
      <c r="C13" s="7" t="s">
        <v>33</v>
      </c>
      <c r="D13" s="7" t="s">
        <v>19</v>
      </c>
      <c r="E13" s="8">
        <v>958</v>
      </c>
      <c r="F13" s="7">
        <v>50</v>
      </c>
      <c r="G13" s="7">
        <v>3000</v>
      </c>
      <c r="H13" s="9">
        <v>2874000</v>
      </c>
      <c r="I13" s="9">
        <v>0</v>
      </c>
      <c r="J13" s="9">
        <v>2874000</v>
      </c>
      <c r="K13" s="9">
        <v>2395000</v>
      </c>
      <c r="L13" s="9">
        <v>479000</v>
      </c>
      <c r="M13" s="10" t="s">
        <v>46</v>
      </c>
      <c r="N13" s="10">
        <v>8</v>
      </c>
      <c r="O13" s="10" t="s">
        <v>47</v>
      </c>
      <c r="P13" s="10">
        <v>2024</v>
      </c>
    </row>
    <row r="14" spans="1:16" x14ac:dyDescent="0.25">
      <c r="A14" s="3" t="s">
        <v>16</v>
      </c>
      <c r="B14" s="3" t="s">
        <v>48</v>
      </c>
      <c r="C14" s="3" t="s">
        <v>33</v>
      </c>
      <c r="D14" s="3" t="s">
        <v>19</v>
      </c>
      <c r="E14" s="4">
        <v>2146</v>
      </c>
      <c r="F14" s="3">
        <v>50</v>
      </c>
      <c r="G14" s="3">
        <v>70</v>
      </c>
      <c r="H14" s="5">
        <v>150220</v>
      </c>
      <c r="I14" s="5">
        <v>0</v>
      </c>
      <c r="J14" s="5">
        <v>150220</v>
      </c>
      <c r="K14" s="5">
        <v>107300</v>
      </c>
      <c r="L14" s="5">
        <v>42920</v>
      </c>
      <c r="M14" s="6" t="s">
        <v>49</v>
      </c>
      <c r="N14" s="6">
        <v>9</v>
      </c>
      <c r="O14" s="6" t="s">
        <v>50</v>
      </c>
      <c r="P14" s="6">
        <v>2024</v>
      </c>
    </row>
    <row r="15" spans="1:16" x14ac:dyDescent="0.25">
      <c r="A15" s="7" t="s">
        <v>40</v>
      </c>
      <c r="B15" s="7" t="s">
        <v>51</v>
      </c>
      <c r="C15" s="7" t="s">
        <v>33</v>
      </c>
      <c r="D15" s="7" t="s">
        <v>19</v>
      </c>
      <c r="E15" s="8">
        <v>345</v>
      </c>
      <c r="F15" s="7">
        <v>50</v>
      </c>
      <c r="G15" s="7">
        <v>1250</v>
      </c>
      <c r="H15" s="9">
        <v>431250</v>
      </c>
      <c r="I15" s="9">
        <v>0</v>
      </c>
      <c r="J15" s="9">
        <v>431250</v>
      </c>
      <c r="K15" s="9">
        <v>414000</v>
      </c>
      <c r="L15" s="9">
        <v>17250</v>
      </c>
      <c r="M15" s="10" t="s">
        <v>52</v>
      </c>
      <c r="N15" s="10">
        <v>10</v>
      </c>
      <c r="O15" s="10" t="s">
        <v>53</v>
      </c>
      <c r="P15" s="10">
        <v>2023</v>
      </c>
    </row>
    <row r="16" spans="1:16" x14ac:dyDescent="0.25">
      <c r="A16" s="3" t="s">
        <v>23</v>
      </c>
      <c r="B16" s="3" t="s">
        <v>54</v>
      </c>
      <c r="C16" s="3" t="s">
        <v>33</v>
      </c>
      <c r="D16" s="3" t="s">
        <v>19</v>
      </c>
      <c r="E16" s="4">
        <v>615</v>
      </c>
      <c r="F16" s="3">
        <v>50</v>
      </c>
      <c r="G16" s="3">
        <v>150</v>
      </c>
      <c r="H16" s="5">
        <v>92250</v>
      </c>
      <c r="I16" s="5">
        <v>0</v>
      </c>
      <c r="J16" s="5">
        <v>92250</v>
      </c>
      <c r="K16" s="5">
        <v>61500</v>
      </c>
      <c r="L16" s="5">
        <v>30750</v>
      </c>
      <c r="M16" s="6" t="s">
        <v>30</v>
      </c>
      <c r="N16" s="6">
        <v>12</v>
      </c>
      <c r="O16" s="6" t="s">
        <v>31</v>
      </c>
      <c r="P16" s="6">
        <v>2024</v>
      </c>
    </row>
    <row r="17" spans="1:16" x14ac:dyDescent="0.25">
      <c r="A17" s="7" t="s">
        <v>16</v>
      </c>
      <c r="B17" s="7" t="s">
        <v>55</v>
      </c>
      <c r="C17" s="7" t="s">
        <v>56</v>
      </c>
      <c r="D17" s="7" t="s">
        <v>19</v>
      </c>
      <c r="E17" s="8">
        <v>292</v>
      </c>
      <c r="F17" s="7">
        <v>100</v>
      </c>
      <c r="G17" s="7">
        <v>200</v>
      </c>
      <c r="H17" s="9">
        <v>58400</v>
      </c>
      <c r="I17" s="9">
        <v>0</v>
      </c>
      <c r="J17" s="9">
        <v>58400</v>
      </c>
      <c r="K17" s="9">
        <v>29200</v>
      </c>
      <c r="L17" s="9">
        <v>29200</v>
      </c>
      <c r="M17" s="10" t="s">
        <v>57</v>
      </c>
      <c r="N17" s="10">
        <v>2</v>
      </c>
      <c r="O17" s="10" t="s">
        <v>58</v>
      </c>
      <c r="P17" s="10">
        <v>2024</v>
      </c>
    </row>
    <row r="18" spans="1:16" x14ac:dyDescent="0.25">
      <c r="A18" s="3" t="s">
        <v>23</v>
      </c>
      <c r="B18" s="3" t="s">
        <v>59</v>
      </c>
      <c r="C18" s="3" t="s">
        <v>56</v>
      </c>
      <c r="D18" s="3" t="s">
        <v>19</v>
      </c>
      <c r="E18" s="4">
        <v>974</v>
      </c>
      <c r="F18" s="3">
        <v>100</v>
      </c>
      <c r="G18" s="3">
        <v>150</v>
      </c>
      <c r="H18" s="5">
        <v>146100</v>
      </c>
      <c r="I18" s="5">
        <v>0</v>
      </c>
      <c r="J18" s="5">
        <v>146100</v>
      </c>
      <c r="K18" s="5">
        <v>97400</v>
      </c>
      <c r="L18" s="5">
        <v>48700</v>
      </c>
      <c r="M18" s="6" t="s">
        <v>57</v>
      </c>
      <c r="N18" s="6">
        <v>2</v>
      </c>
      <c r="O18" s="6" t="s">
        <v>58</v>
      </c>
      <c r="P18" s="6">
        <v>2024</v>
      </c>
    </row>
    <row r="19" spans="1:16" x14ac:dyDescent="0.25">
      <c r="A19" s="7" t="s">
        <v>36</v>
      </c>
      <c r="B19" s="7" t="s">
        <v>60</v>
      </c>
      <c r="C19" s="7" t="s">
        <v>56</v>
      </c>
      <c r="D19" s="7" t="s">
        <v>19</v>
      </c>
      <c r="E19" s="8">
        <v>2518</v>
      </c>
      <c r="F19" s="7">
        <v>100</v>
      </c>
      <c r="G19" s="7">
        <v>120</v>
      </c>
      <c r="H19" s="9">
        <v>302160</v>
      </c>
      <c r="I19" s="9">
        <v>0</v>
      </c>
      <c r="J19" s="9">
        <v>302160</v>
      </c>
      <c r="K19" s="9">
        <v>75540</v>
      </c>
      <c r="L19" s="9">
        <v>226620</v>
      </c>
      <c r="M19" s="10" t="s">
        <v>25</v>
      </c>
      <c r="N19" s="10">
        <v>6</v>
      </c>
      <c r="O19" s="10" t="s">
        <v>26</v>
      </c>
      <c r="P19" s="10">
        <v>2024</v>
      </c>
    </row>
    <row r="20" spans="1:16" x14ac:dyDescent="0.25">
      <c r="A20" s="3" t="s">
        <v>16</v>
      </c>
      <c r="B20" s="3" t="s">
        <v>61</v>
      </c>
      <c r="C20" s="3" t="s">
        <v>56</v>
      </c>
      <c r="D20" s="3" t="s">
        <v>19</v>
      </c>
      <c r="E20" s="4">
        <v>1006</v>
      </c>
      <c r="F20" s="3">
        <v>100</v>
      </c>
      <c r="G20" s="3">
        <v>3500</v>
      </c>
      <c r="H20" s="5">
        <v>3521000</v>
      </c>
      <c r="I20" s="5">
        <v>0</v>
      </c>
      <c r="J20" s="5">
        <v>3521000</v>
      </c>
      <c r="K20" s="5">
        <v>2615600</v>
      </c>
      <c r="L20" s="5">
        <v>905400</v>
      </c>
      <c r="M20" s="6" t="s">
        <v>25</v>
      </c>
      <c r="N20" s="6">
        <v>6</v>
      </c>
      <c r="O20" s="6" t="s">
        <v>26</v>
      </c>
      <c r="P20" s="6">
        <v>2024</v>
      </c>
    </row>
    <row r="21" spans="1:16" x14ac:dyDescent="0.25">
      <c r="A21" s="7" t="s">
        <v>36</v>
      </c>
      <c r="B21" s="7" t="s">
        <v>62</v>
      </c>
      <c r="C21" s="7" t="s">
        <v>56</v>
      </c>
      <c r="D21" s="7" t="s">
        <v>19</v>
      </c>
      <c r="E21" s="8">
        <v>367</v>
      </c>
      <c r="F21" s="7">
        <v>100</v>
      </c>
      <c r="G21" s="7">
        <v>120</v>
      </c>
      <c r="H21" s="9">
        <v>44040</v>
      </c>
      <c r="I21" s="9">
        <v>0</v>
      </c>
      <c r="J21" s="9">
        <v>44040</v>
      </c>
      <c r="K21" s="9">
        <v>11010</v>
      </c>
      <c r="L21" s="9">
        <v>33030</v>
      </c>
      <c r="M21" s="10" t="s">
        <v>42</v>
      </c>
      <c r="N21" s="10">
        <v>7</v>
      </c>
      <c r="O21" s="10" t="s">
        <v>43</v>
      </c>
      <c r="P21" s="10">
        <v>2024</v>
      </c>
    </row>
    <row r="22" spans="1:16" x14ac:dyDescent="0.25">
      <c r="A22" s="3" t="s">
        <v>16</v>
      </c>
      <c r="B22" s="3" t="s">
        <v>63</v>
      </c>
      <c r="C22" s="3" t="s">
        <v>56</v>
      </c>
      <c r="D22" s="3" t="s">
        <v>19</v>
      </c>
      <c r="E22" s="4">
        <v>883</v>
      </c>
      <c r="F22" s="3">
        <v>100</v>
      </c>
      <c r="G22" s="3">
        <v>70</v>
      </c>
      <c r="H22" s="5">
        <v>61810</v>
      </c>
      <c r="I22" s="5">
        <v>0</v>
      </c>
      <c r="J22" s="5">
        <v>61810</v>
      </c>
      <c r="K22" s="5">
        <v>44150</v>
      </c>
      <c r="L22" s="5">
        <v>17660</v>
      </c>
      <c r="M22" s="6" t="s">
        <v>46</v>
      </c>
      <c r="N22" s="6">
        <v>8</v>
      </c>
      <c r="O22" s="6" t="s">
        <v>47</v>
      </c>
      <c r="P22" s="6">
        <v>2024</v>
      </c>
    </row>
    <row r="23" spans="1:16" x14ac:dyDescent="0.25">
      <c r="A23" s="7" t="s">
        <v>23</v>
      </c>
      <c r="B23" s="7" t="s">
        <v>64</v>
      </c>
      <c r="C23" s="7" t="s">
        <v>56</v>
      </c>
      <c r="D23" s="7" t="s">
        <v>19</v>
      </c>
      <c r="E23" s="8">
        <v>549</v>
      </c>
      <c r="F23" s="7">
        <v>100</v>
      </c>
      <c r="G23" s="7">
        <v>150</v>
      </c>
      <c r="H23" s="9">
        <v>82350</v>
      </c>
      <c r="I23" s="9">
        <v>0</v>
      </c>
      <c r="J23" s="9">
        <v>82350</v>
      </c>
      <c r="K23" s="9">
        <v>54900</v>
      </c>
      <c r="L23" s="9">
        <v>27450</v>
      </c>
      <c r="M23" s="10" t="s">
        <v>65</v>
      </c>
      <c r="N23" s="10">
        <v>9</v>
      </c>
      <c r="O23" s="10" t="s">
        <v>50</v>
      </c>
      <c r="P23" s="10">
        <v>2023</v>
      </c>
    </row>
    <row r="24" spans="1:16" x14ac:dyDescent="0.25">
      <c r="A24" s="3" t="s">
        <v>44</v>
      </c>
      <c r="B24" s="3" t="s">
        <v>66</v>
      </c>
      <c r="C24" s="3" t="s">
        <v>56</v>
      </c>
      <c r="D24" s="3" t="s">
        <v>19</v>
      </c>
      <c r="E24" s="4">
        <v>788</v>
      </c>
      <c r="F24" s="3">
        <v>100</v>
      </c>
      <c r="G24" s="3">
        <v>3000</v>
      </c>
      <c r="H24" s="5">
        <v>2364000</v>
      </c>
      <c r="I24" s="5">
        <v>0</v>
      </c>
      <c r="J24" s="5">
        <v>2364000</v>
      </c>
      <c r="K24" s="5">
        <v>1970000</v>
      </c>
      <c r="L24" s="5">
        <v>394000</v>
      </c>
      <c r="M24" s="6" t="s">
        <v>65</v>
      </c>
      <c r="N24" s="6">
        <v>9</v>
      </c>
      <c r="O24" s="6" t="s">
        <v>50</v>
      </c>
      <c r="P24" s="6">
        <v>2023</v>
      </c>
    </row>
    <row r="25" spans="1:16" x14ac:dyDescent="0.25">
      <c r="A25" s="7" t="s">
        <v>23</v>
      </c>
      <c r="B25" s="7" t="s">
        <v>67</v>
      </c>
      <c r="C25" s="7" t="s">
        <v>56</v>
      </c>
      <c r="D25" s="7" t="s">
        <v>19</v>
      </c>
      <c r="E25" s="8">
        <v>2472</v>
      </c>
      <c r="F25" s="7">
        <v>100</v>
      </c>
      <c r="G25" s="7">
        <v>150</v>
      </c>
      <c r="H25" s="9">
        <v>370800</v>
      </c>
      <c r="I25" s="9">
        <v>0</v>
      </c>
      <c r="J25" s="9">
        <v>370800</v>
      </c>
      <c r="K25" s="9">
        <v>247200</v>
      </c>
      <c r="L25" s="9">
        <v>123600</v>
      </c>
      <c r="M25" s="10" t="s">
        <v>49</v>
      </c>
      <c r="N25" s="10">
        <v>9</v>
      </c>
      <c r="O25" s="10" t="s">
        <v>50</v>
      </c>
      <c r="P25" s="10">
        <v>2024</v>
      </c>
    </row>
    <row r="26" spans="1:16" x14ac:dyDescent="0.25">
      <c r="A26" s="3" t="s">
        <v>16</v>
      </c>
      <c r="B26" s="3" t="s">
        <v>68</v>
      </c>
      <c r="C26" s="3" t="s">
        <v>56</v>
      </c>
      <c r="D26" s="3" t="s">
        <v>19</v>
      </c>
      <c r="E26" s="4">
        <v>1143</v>
      </c>
      <c r="F26" s="3">
        <v>100</v>
      </c>
      <c r="G26" s="3">
        <v>70</v>
      </c>
      <c r="H26" s="5">
        <v>80010</v>
      </c>
      <c r="I26" s="5">
        <v>0</v>
      </c>
      <c r="J26" s="5">
        <v>80010</v>
      </c>
      <c r="K26" s="5">
        <v>57150</v>
      </c>
      <c r="L26" s="5">
        <v>22860</v>
      </c>
      <c r="M26" s="6" t="s">
        <v>69</v>
      </c>
      <c r="N26" s="6">
        <v>10</v>
      </c>
      <c r="O26" s="6" t="s">
        <v>53</v>
      </c>
      <c r="P26" s="6">
        <v>2024</v>
      </c>
    </row>
    <row r="27" spans="1:16" x14ac:dyDescent="0.25">
      <c r="A27" s="7" t="s">
        <v>16</v>
      </c>
      <c r="B27" s="7" t="s">
        <v>70</v>
      </c>
      <c r="C27" s="7" t="s">
        <v>71</v>
      </c>
      <c r="D27" s="7" t="s">
        <v>19</v>
      </c>
      <c r="E27" s="8">
        <v>1493</v>
      </c>
      <c r="F27" s="7">
        <v>1200</v>
      </c>
      <c r="G27" s="7">
        <v>70</v>
      </c>
      <c r="H27" s="9">
        <v>104510</v>
      </c>
      <c r="I27" s="9">
        <v>0</v>
      </c>
      <c r="J27" s="9">
        <v>104510</v>
      </c>
      <c r="K27" s="9">
        <v>74650</v>
      </c>
      <c r="L27" s="9">
        <v>29860</v>
      </c>
      <c r="M27" s="10" t="s">
        <v>20</v>
      </c>
      <c r="N27" s="10">
        <v>1</v>
      </c>
      <c r="O27" s="10" t="s">
        <v>21</v>
      </c>
      <c r="P27" s="10">
        <v>2024</v>
      </c>
    </row>
    <row r="28" spans="1:16" x14ac:dyDescent="0.25">
      <c r="A28" s="3" t="s">
        <v>40</v>
      </c>
      <c r="B28" s="3" t="s">
        <v>72</v>
      </c>
      <c r="C28" s="3" t="s">
        <v>71</v>
      </c>
      <c r="D28" s="3" t="s">
        <v>19</v>
      </c>
      <c r="E28" s="4">
        <v>1804</v>
      </c>
      <c r="F28" s="3">
        <v>1200</v>
      </c>
      <c r="G28" s="3">
        <v>1250</v>
      </c>
      <c r="H28" s="5">
        <v>2255000</v>
      </c>
      <c r="I28" s="5">
        <v>0</v>
      </c>
      <c r="J28" s="5">
        <v>2255000</v>
      </c>
      <c r="K28" s="5">
        <v>2164800</v>
      </c>
      <c r="L28" s="5">
        <v>90200</v>
      </c>
      <c r="M28" s="6" t="s">
        <v>57</v>
      </c>
      <c r="N28" s="6">
        <v>2</v>
      </c>
      <c r="O28" s="6" t="s">
        <v>58</v>
      </c>
      <c r="P28" s="6">
        <v>2024</v>
      </c>
    </row>
    <row r="29" spans="1:16" x14ac:dyDescent="0.25">
      <c r="A29" s="7" t="s">
        <v>36</v>
      </c>
      <c r="B29" s="7" t="s">
        <v>73</v>
      </c>
      <c r="C29" s="7" t="s">
        <v>71</v>
      </c>
      <c r="D29" s="7" t="s">
        <v>19</v>
      </c>
      <c r="E29" s="8">
        <v>2161</v>
      </c>
      <c r="F29" s="7">
        <v>1200</v>
      </c>
      <c r="G29" s="7">
        <v>120</v>
      </c>
      <c r="H29" s="9">
        <v>259320</v>
      </c>
      <c r="I29" s="9">
        <v>0</v>
      </c>
      <c r="J29" s="9">
        <v>259320</v>
      </c>
      <c r="K29" s="9">
        <v>64830</v>
      </c>
      <c r="L29" s="9">
        <v>194490</v>
      </c>
      <c r="M29" s="10" t="s">
        <v>34</v>
      </c>
      <c r="N29" s="10">
        <v>3</v>
      </c>
      <c r="O29" s="10" t="s">
        <v>35</v>
      </c>
      <c r="P29" s="10">
        <v>2024</v>
      </c>
    </row>
    <row r="30" spans="1:16" x14ac:dyDescent="0.25">
      <c r="A30" s="3" t="s">
        <v>16</v>
      </c>
      <c r="B30" s="3" t="s">
        <v>74</v>
      </c>
      <c r="C30" s="3" t="s">
        <v>71</v>
      </c>
      <c r="D30" s="3" t="s">
        <v>19</v>
      </c>
      <c r="E30" s="4">
        <v>1006</v>
      </c>
      <c r="F30" s="3">
        <v>1200</v>
      </c>
      <c r="G30" s="3">
        <v>3500</v>
      </c>
      <c r="H30" s="5">
        <v>3521000</v>
      </c>
      <c r="I30" s="5">
        <v>0</v>
      </c>
      <c r="J30" s="5">
        <v>3521000</v>
      </c>
      <c r="K30" s="5">
        <v>2615600</v>
      </c>
      <c r="L30" s="5">
        <v>905400</v>
      </c>
      <c r="M30" s="6" t="s">
        <v>25</v>
      </c>
      <c r="N30" s="6">
        <v>6</v>
      </c>
      <c r="O30" s="6" t="s">
        <v>26</v>
      </c>
      <c r="P30" s="6">
        <v>2024</v>
      </c>
    </row>
    <row r="31" spans="1:16" x14ac:dyDescent="0.25">
      <c r="A31" s="7" t="s">
        <v>40</v>
      </c>
      <c r="B31" s="7" t="s">
        <v>75</v>
      </c>
      <c r="C31" s="7" t="s">
        <v>71</v>
      </c>
      <c r="D31" s="7" t="s">
        <v>19</v>
      </c>
      <c r="E31" s="8">
        <v>345</v>
      </c>
      <c r="F31" s="7">
        <v>1200</v>
      </c>
      <c r="G31" s="7">
        <v>1250</v>
      </c>
      <c r="H31" s="9">
        <v>431250</v>
      </c>
      <c r="I31" s="9">
        <v>0</v>
      </c>
      <c r="J31" s="9">
        <v>431250</v>
      </c>
      <c r="K31" s="9">
        <v>414000</v>
      </c>
      <c r="L31" s="9">
        <v>17250</v>
      </c>
      <c r="M31" s="10" t="s">
        <v>52</v>
      </c>
      <c r="N31" s="10">
        <v>10</v>
      </c>
      <c r="O31" s="10" t="s">
        <v>53</v>
      </c>
      <c r="P31" s="10">
        <v>2023</v>
      </c>
    </row>
    <row r="32" spans="1:16" x14ac:dyDescent="0.25">
      <c r="A32" s="3" t="s">
        <v>44</v>
      </c>
      <c r="B32" s="3" t="s">
        <v>76</v>
      </c>
      <c r="C32" s="3" t="s">
        <v>77</v>
      </c>
      <c r="D32" s="3" t="s">
        <v>19</v>
      </c>
      <c r="E32" s="4">
        <v>2001</v>
      </c>
      <c r="F32" s="3">
        <v>2500</v>
      </c>
      <c r="G32" s="3">
        <v>3000</v>
      </c>
      <c r="H32" s="5">
        <v>6003000</v>
      </c>
      <c r="I32" s="5">
        <v>0</v>
      </c>
      <c r="J32" s="5">
        <v>6003000</v>
      </c>
      <c r="K32" s="5">
        <v>5002500</v>
      </c>
      <c r="L32" s="5">
        <v>1000500</v>
      </c>
      <c r="M32" s="6" t="s">
        <v>57</v>
      </c>
      <c r="N32" s="6">
        <v>2</v>
      </c>
      <c r="O32" s="6" t="s">
        <v>58</v>
      </c>
      <c r="P32" s="6">
        <v>2024</v>
      </c>
    </row>
    <row r="33" spans="1:16" x14ac:dyDescent="0.25">
      <c r="A33" s="7" t="s">
        <v>36</v>
      </c>
      <c r="B33" s="7" t="s">
        <v>78</v>
      </c>
      <c r="C33" s="7" t="s">
        <v>77</v>
      </c>
      <c r="D33" s="7" t="s">
        <v>19</v>
      </c>
      <c r="E33" s="8">
        <v>2838</v>
      </c>
      <c r="F33" s="7">
        <v>2500</v>
      </c>
      <c r="G33" s="7">
        <v>120</v>
      </c>
      <c r="H33" s="9">
        <v>340560</v>
      </c>
      <c r="I33" s="9">
        <v>0</v>
      </c>
      <c r="J33" s="9">
        <v>340560</v>
      </c>
      <c r="K33" s="9">
        <v>85140</v>
      </c>
      <c r="L33" s="9">
        <v>255420</v>
      </c>
      <c r="M33" s="10" t="s">
        <v>79</v>
      </c>
      <c r="N33" s="10">
        <v>4</v>
      </c>
      <c r="O33" s="10" t="s">
        <v>80</v>
      </c>
      <c r="P33" s="10">
        <v>2024</v>
      </c>
    </row>
    <row r="34" spans="1:16" x14ac:dyDescent="0.25">
      <c r="A34" s="3" t="s">
        <v>23</v>
      </c>
      <c r="B34" s="3" t="s">
        <v>81</v>
      </c>
      <c r="C34" s="3" t="s">
        <v>77</v>
      </c>
      <c r="D34" s="3" t="s">
        <v>19</v>
      </c>
      <c r="E34" s="4">
        <v>2178</v>
      </c>
      <c r="F34" s="3">
        <v>2500</v>
      </c>
      <c r="G34" s="3">
        <v>150</v>
      </c>
      <c r="H34" s="5">
        <v>326700</v>
      </c>
      <c r="I34" s="5">
        <v>0</v>
      </c>
      <c r="J34" s="5">
        <v>326700</v>
      </c>
      <c r="K34" s="5">
        <v>217800</v>
      </c>
      <c r="L34" s="5">
        <v>108900</v>
      </c>
      <c r="M34" s="6" t="s">
        <v>25</v>
      </c>
      <c r="N34" s="6">
        <v>6</v>
      </c>
      <c r="O34" s="6" t="s">
        <v>26</v>
      </c>
      <c r="P34" s="6">
        <v>2024</v>
      </c>
    </row>
    <row r="35" spans="1:16" x14ac:dyDescent="0.25">
      <c r="A35" s="7" t="s">
        <v>23</v>
      </c>
      <c r="B35" s="7" t="s">
        <v>82</v>
      </c>
      <c r="C35" s="7" t="s">
        <v>77</v>
      </c>
      <c r="D35" s="7" t="s">
        <v>19</v>
      </c>
      <c r="E35" s="8">
        <v>888</v>
      </c>
      <c r="F35" s="7">
        <v>2500</v>
      </c>
      <c r="G35" s="7">
        <v>150</v>
      </c>
      <c r="H35" s="9">
        <v>133200</v>
      </c>
      <c r="I35" s="9">
        <v>0</v>
      </c>
      <c r="J35" s="9">
        <v>133200</v>
      </c>
      <c r="K35" s="9">
        <v>88800</v>
      </c>
      <c r="L35" s="9">
        <v>44400</v>
      </c>
      <c r="M35" s="10" t="s">
        <v>25</v>
      </c>
      <c r="N35" s="10">
        <v>6</v>
      </c>
      <c r="O35" s="10" t="s">
        <v>26</v>
      </c>
      <c r="P35" s="10">
        <v>2024</v>
      </c>
    </row>
    <row r="36" spans="1:16" x14ac:dyDescent="0.25">
      <c r="A36" s="3" t="s">
        <v>16</v>
      </c>
      <c r="B36" s="3" t="s">
        <v>83</v>
      </c>
      <c r="C36" s="3" t="s">
        <v>77</v>
      </c>
      <c r="D36" s="3" t="s">
        <v>19</v>
      </c>
      <c r="E36" s="4">
        <v>1817</v>
      </c>
      <c r="F36" s="3">
        <v>2500</v>
      </c>
      <c r="G36" s="3">
        <v>200</v>
      </c>
      <c r="H36" s="5">
        <v>363400</v>
      </c>
      <c r="I36" s="5">
        <v>0</v>
      </c>
      <c r="J36" s="5">
        <v>363400</v>
      </c>
      <c r="K36" s="5">
        <v>181700</v>
      </c>
      <c r="L36" s="5">
        <v>181700</v>
      </c>
      <c r="M36" s="6" t="s">
        <v>30</v>
      </c>
      <c r="N36" s="6">
        <v>12</v>
      </c>
      <c r="O36" s="6" t="s">
        <v>31</v>
      </c>
      <c r="P36" s="6">
        <v>2024</v>
      </c>
    </row>
    <row r="37" spans="1:16" x14ac:dyDescent="0.25">
      <c r="A37" s="7" t="s">
        <v>16</v>
      </c>
      <c r="B37" s="7" t="s">
        <v>17</v>
      </c>
      <c r="C37" s="7" t="s">
        <v>56</v>
      </c>
      <c r="D37" s="7" t="s">
        <v>84</v>
      </c>
      <c r="E37" s="8">
        <v>3945</v>
      </c>
      <c r="F37" s="7">
        <v>100</v>
      </c>
      <c r="G37" s="7">
        <v>70</v>
      </c>
      <c r="H37" s="9">
        <v>276150</v>
      </c>
      <c r="I37" s="9">
        <v>2761</v>
      </c>
      <c r="J37" s="9">
        <v>273389</v>
      </c>
      <c r="K37" s="9">
        <v>197250</v>
      </c>
      <c r="L37" s="9">
        <v>76139</v>
      </c>
      <c r="M37" s="10" t="s">
        <v>20</v>
      </c>
      <c r="N37" s="10">
        <v>1</v>
      </c>
      <c r="O37" s="10" t="s">
        <v>21</v>
      </c>
      <c r="P37" s="10">
        <v>2024</v>
      </c>
    </row>
    <row r="38" spans="1:16" x14ac:dyDescent="0.25">
      <c r="A38" s="3" t="s">
        <v>23</v>
      </c>
      <c r="B38" s="3" t="s">
        <v>22</v>
      </c>
      <c r="C38" s="3" t="s">
        <v>56</v>
      </c>
      <c r="D38" s="3" t="s">
        <v>84</v>
      </c>
      <c r="E38" s="4">
        <v>2296</v>
      </c>
      <c r="F38" s="3">
        <v>100</v>
      </c>
      <c r="G38" s="3">
        <v>150</v>
      </c>
      <c r="H38" s="5">
        <v>344400</v>
      </c>
      <c r="I38" s="5">
        <v>3444</v>
      </c>
      <c r="J38" s="5">
        <v>340956</v>
      </c>
      <c r="K38" s="5">
        <v>229600</v>
      </c>
      <c r="L38" s="5">
        <v>111356</v>
      </c>
      <c r="M38" s="6" t="s">
        <v>57</v>
      </c>
      <c r="N38" s="6">
        <v>2</v>
      </c>
      <c r="O38" s="6" t="s">
        <v>58</v>
      </c>
      <c r="P38" s="6">
        <v>2024</v>
      </c>
    </row>
    <row r="39" spans="1:16" x14ac:dyDescent="0.25">
      <c r="A39" s="7" t="s">
        <v>16</v>
      </c>
      <c r="B39" s="7" t="s">
        <v>24</v>
      </c>
      <c r="C39" s="7" t="s">
        <v>18</v>
      </c>
      <c r="D39" s="7" t="s">
        <v>84</v>
      </c>
      <c r="E39" s="8">
        <v>1030</v>
      </c>
      <c r="F39" s="7">
        <v>30</v>
      </c>
      <c r="G39" s="7">
        <v>70</v>
      </c>
      <c r="H39" s="9">
        <v>72100</v>
      </c>
      <c r="I39" s="9">
        <v>721</v>
      </c>
      <c r="J39" s="9">
        <v>71379</v>
      </c>
      <c r="K39" s="9">
        <v>51500</v>
      </c>
      <c r="L39" s="9">
        <v>19879</v>
      </c>
      <c r="M39" s="10" t="s">
        <v>85</v>
      </c>
      <c r="N39" s="10">
        <v>5</v>
      </c>
      <c r="O39" s="10" t="s">
        <v>86</v>
      </c>
      <c r="P39" s="10">
        <v>2024</v>
      </c>
    </row>
    <row r="40" spans="1:16" x14ac:dyDescent="0.25">
      <c r="A40" s="3" t="s">
        <v>16</v>
      </c>
      <c r="B40" s="3" t="s">
        <v>27</v>
      </c>
      <c r="C40" s="3" t="s">
        <v>71</v>
      </c>
      <c r="D40" s="3" t="s">
        <v>84</v>
      </c>
      <c r="E40" s="4">
        <v>639</v>
      </c>
      <c r="F40" s="3">
        <v>1200</v>
      </c>
      <c r="G40" s="3">
        <v>70</v>
      </c>
      <c r="H40" s="5">
        <v>44730</v>
      </c>
      <c r="I40" s="5">
        <v>447</v>
      </c>
      <c r="J40" s="5">
        <v>44283</v>
      </c>
      <c r="K40" s="5">
        <v>31950</v>
      </c>
      <c r="L40" s="5">
        <v>12333</v>
      </c>
      <c r="M40" s="6" t="s">
        <v>87</v>
      </c>
      <c r="N40" s="6">
        <v>11</v>
      </c>
      <c r="O40" s="6" t="s">
        <v>88</v>
      </c>
      <c r="P40" s="6">
        <v>2024</v>
      </c>
    </row>
    <row r="41" spans="1:16" x14ac:dyDescent="0.25">
      <c r="A41" s="7" t="s">
        <v>16</v>
      </c>
      <c r="B41" s="7" t="s">
        <v>28</v>
      </c>
      <c r="C41" s="7" t="s">
        <v>77</v>
      </c>
      <c r="D41" s="7" t="s">
        <v>84</v>
      </c>
      <c r="E41" s="8">
        <v>1326</v>
      </c>
      <c r="F41" s="7">
        <v>2500</v>
      </c>
      <c r="G41" s="7">
        <v>70</v>
      </c>
      <c r="H41" s="9">
        <v>92820</v>
      </c>
      <c r="I41" s="9">
        <v>928</v>
      </c>
      <c r="J41" s="9">
        <v>91892</v>
      </c>
      <c r="K41" s="9">
        <v>66300</v>
      </c>
      <c r="L41" s="9">
        <v>25592</v>
      </c>
      <c r="M41" s="10" t="s">
        <v>34</v>
      </c>
      <c r="N41" s="10">
        <v>3</v>
      </c>
      <c r="O41" s="10" t="s">
        <v>35</v>
      </c>
      <c r="P41" s="10">
        <v>2024</v>
      </c>
    </row>
    <row r="42" spans="1:16" x14ac:dyDescent="0.25">
      <c r="A42" s="3" t="s">
        <v>36</v>
      </c>
      <c r="B42" s="3" t="s">
        <v>29</v>
      </c>
      <c r="C42" s="3" t="s">
        <v>18</v>
      </c>
      <c r="D42" s="3" t="s">
        <v>84</v>
      </c>
      <c r="E42" s="4">
        <v>1858</v>
      </c>
      <c r="F42" s="3">
        <v>30</v>
      </c>
      <c r="G42" s="3">
        <v>120</v>
      </c>
      <c r="H42" s="5">
        <v>222960</v>
      </c>
      <c r="I42" s="5">
        <v>2230</v>
      </c>
      <c r="J42" s="5">
        <v>220730</v>
      </c>
      <c r="K42" s="5">
        <v>55740</v>
      </c>
      <c r="L42" s="5">
        <v>164990</v>
      </c>
      <c r="M42" s="6" t="s">
        <v>57</v>
      </c>
      <c r="N42" s="6">
        <v>2</v>
      </c>
      <c r="O42" s="6" t="s">
        <v>58</v>
      </c>
      <c r="P42" s="6">
        <v>2024</v>
      </c>
    </row>
    <row r="43" spans="1:16" x14ac:dyDescent="0.25">
      <c r="A43" s="7" t="s">
        <v>16</v>
      </c>
      <c r="B43" s="7" t="s">
        <v>32</v>
      </c>
      <c r="C43" s="7" t="s">
        <v>18</v>
      </c>
      <c r="D43" s="7" t="s">
        <v>84</v>
      </c>
      <c r="E43" s="8">
        <v>1210</v>
      </c>
      <c r="F43" s="7">
        <v>30</v>
      </c>
      <c r="G43" s="7">
        <v>3500</v>
      </c>
      <c r="H43" s="9">
        <v>4235000</v>
      </c>
      <c r="I43" s="9">
        <v>42350</v>
      </c>
      <c r="J43" s="9">
        <v>4192650</v>
      </c>
      <c r="K43" s="9">
        <v>3146000</v>
      </c>
      <c r="L43" s="9">
        <v>1046650</v>
      </c>
      <c r="M43" s="10" t="s">
        <v>34</v>
      </c>
      <c r="N43" s="10">
        <v>3</v>
      </c>
      <c r="O43" s="10" t="s">
        <v>35</v>
      </c>
      <c r="P43" s="10">
        <v>2024</v>
      </c>
    </row>
    <row r="44" spans="1:16" x14ac:dyDescent="0.25">
      <c r="A44" s="3" t="s">
        <v>16</v>
      </c>
      <c r="B44" s="3" t="s">
        <v>37</v>
      </c>
      <c r="C44" s="3" t="s">
        <v>18</v>
      </c>
      <c r="D44" s="3" t="s">
        <v>84</v>
      </c>
      <c r="E44" s="4">
        <v>2529</v>
      </c>
      <c r="F44" s="3">
        <v>30</v>
      </c>
      <c r="G44" s="3">
        <v>70</v>
      </c>
      <c r="H44" s="5">
        <v>177030</v>
      </c>
      <c r="I44" s="5">
        <v>1770</v>
      </c>
      <c r="J44" s="5">
        <v>175260</v>
      </c>
      <c r="K44" s="5">
        <v>126450</v>
      </c>
      <c r="L44" s="5">
        <v>48810</v>
      </c>
      <c r="M44" s="6" t="s">
        <v>42</v>
      </c>
      <c r="N44" s="6">
        <v>7</v>
      </c>
      <c r="O44" s="6" t="s">
        <v>43</v>
      </c>
      <c r="P44" s="6">
        <v>2024</v>
      </c>
    </row>
    <row r="45" spans="1:16" x14ac:dyDescent="0.25">
      <c r="A45" s="7" t="s">
        <v>36</v>
      </c>
      <c r="B45" s="7" t="s">
        <v>38</v>
      </c>
      <c r="C45" s="7" t="s">
        <v>18</v>
      </c>
      <c r="D45" s="7" t="s">
        <v>84</v>
      </c>
      <c r="E45" s="8">
        <v>1445</v>
      </c>
      <c r="F45" s="7">
        <v>30</v>
      </c>
      <c r="G45" s="7">
        <v>120</v>
      </c>
      <c r="H45" s="9">
        <v>173400</v>
      </c>
      <c r="I45" s="9">
        <v>1734</v>
      </c>
      <c r="J45" s="9">
        <v>171666</v>
      </c>
      <c r="K45" s="9">
        <v>43350</v>
      </c>
      <c r="L45" s="9">
        <v>128316</v>
      </c>
      <c r="M45" s="10" t="s">
        <v>49</v>
      </c>
      <c r="N45" s="10">
        <v>9</v>
      </c>
      <c r="O45" s="10" t="s">
        <v>50</v>
      </c>
      <c r="P45" s="10">
        <v>2024</v>
      </c>
    </row>
    <row r="46" spans="1:16" x14ac:dyDescent="0.25">
      <c r="A46" s="3" t="s">
        <v>40</v>
      </c>
      <c r="B46" s="3" t="s">
        <v>39</v>
      </c>
      <c r="C46" s="3" t="s">
        <v>18</v>
      </c>
      <c r="D46" s="3" t="s">
        <v>84</v>
      </c>
      <c r="E46" s="4">
        <v>330</v>
      </c>
      <c r="F46" s="3">
        <v>30</v>
      </c>
      <c r="G46" s="3">
        <v>1250</v>
      </c>
      <c r="H46" s="5">
        <v>412500</v>
      </c>
      <c r="I46" s="5">
        <v>4125</v>
      </c>
      <c r="J46" s="5">
        <v>408375</v>
      </c>
      <c r="K46" s="5">
        <v>396000</v>
      </c>
      <c r="L46" s="5">
        <v>12375</v>
      </c>
      <c r="M46" s="6" t="s">
        <v>65</v>
      </c>
      <c r="N46" s="6">
        <v>9</v>
      </c>
      <c r="O46" s="6" t="s">
        <v>50</v>
      </c>
      <c r="P46" s="6">
        <v>2023</v>
      </c>
    </row>
    <row r="47" spans="1:16" x14ac:dyDescent="0.25">
      <c r="A47" s="7" t="s">
        <v>36</v>
      </c>
      <c r="B47" s="7" t="s">
        <v>41</v>
      </c>
      <c r="C47" s="7" t="s">
        <v>18</v>
      </c>
      <c r="D47" s="7" t="s">
        <v>84</v>
      </c>
      <c r="E47" s="8">
        <v>2671</v>
      </c>
      <c r="F47" s="7">
        <v>30</v>
      </c>
      <c r="G47" s="7">
        <v>120</v>
      </c>
      <c r="H47" s="9">
        <v>320520</v>
      </c>
      <c r="I47" s="9">
        <v>3205</v>
      </c>
      <c r="J47" s="9">
        <v>317315</v>
      </c>
      <c r="K47" s="9">
        <v>80130</v>
      </c>
      <c r="L47" s="9">
        <v>237185</v>
      </c>
      <c r="M47" s="10" t="s">
        <v>49</v>
      </c>
      <c r="N47" s="10">
        <v>9</v>
      </c>
      <c r="O47" s="10" t="s">
        <v>50</v>
      </c>
      <c r="P47" s="10">
        <v>2024</v>
      </c>
    </row>
    <row r="48" spans="1:16" x14ac:dyDescent="0.25">
      <c r="A48" s="3" t="s">
        <v>16</v>
      </c>
      <c r="B48" s="3" t="s">
        <v>45</v>
      </c>
      <c r="C48" s="3" t="s">
        <v>33</v>
      </c>
      <c r="D48" s="3" t="s">
        <v>84</v>
      </c>
      <c r="E48" s="4">
        <v>1493</v>
      </c>
      <c r="F48" s="3">
        <v>50</v>
      </c>
      <c r="G48" s="3">
        <v>70</v>
      </c>
      <c r="H48" s="5">
        <v>104510</v>
      </c>
      <c r="I48" s="5">
        <v>1045</v>
      </c>
      <c r="J48" s="5">
        <v>103465</v>
      </c>
      <c r="K48" s="5">
        <v>74650</v>
      </c>
      <c r="L48" s="5">
        <v>28815</v>
      </c>
      <c r="M48" s="6" t="s">
        <v>20</v>
      </c>
      <c r="N48" s="6">
        <v>1</v>
      </c>
      <c r="O48" s="6" t="s">
        <v>21</v>
      </c>
      <c r="P48" s="6">
        <v>2024</v>
      </c>
    </row>
    <row r="49" spans="1:16" x14ac:dyDescent="0.25">
      <c r="A49" s="7" t="s">
        <v>23</v>
      </c>
      <c r="B49" s="7" t="s">
        <v>48</v>
      </c>
      <c r="C49" s="7" t="s">
        <v>33</v>
      </c>
      <c r="D49" s="7" t="s">
        <v>84</v>
      </c>
      <c r="E49" s="8">
        <v>2214</v>
      </c>
      <c r="F49" s="7">
        <v>50</v>
      </c>
      <c r="G49" s="7">
        <v>150</v>
      </c>
      <c r="H49" s="9">
        <v>332100</v>
      </c>
      <c r="I49" s="9">
        <v>3321</v>
      </c>
      <c r="J49" s="9">
        <v>328779</v>
      </c>
      <c r="K49" s="9">
        <v>221400</v>
      </c>
      <c r="L49" s="9">
        <v>107379</v>
      </c>
      <c r="M49" s="10" t="s">
        <v>34</v>
      </c>
      <c r="N49" s="10">
        <v>3</v>
      </c>
      <c r="O49" s="10" t="s">
        <v>35</v>
      </c>
      <c r="P49" s="10">
        <v>2024</v>
      </c>
    </row>
    <row r="50" spans="1:16" x14ac:dyDescent="0.25">
      <c r="A50" s="3" t="s">
        <v>44</v>
      </c>
      <c r="B50" s="3" t="s">
        <v>54</v>
      </c>
      <c r="C50" s="3" t="s">
        <v>33</v>
      </c>
      <c r="D50" s="3" t="s">
        <v>84</v>
      </c>
      <c r="E50" s="4">
        <v>2301</v>
      </c>
      <c r="F50" s="3">
        <v>50</v>
      </c>
      <c r="G50" s="3">
        <v>3000</v>
      </c>
      <c r="H50" s="5">
        <v>6903000</v>
      </c>
      <c r="I50" s="5">
        <v>69030</v>
      </c>
      <c r="J50" s="5">
        <v>6833970</v>
      </c>
      <c r="K50" s="5">
        <v>5752500</v>
      </c>
      <c r="L50" s="5">
        <v>1081470</v>
      </c>
      <c r="M50" s="6" t="s">
        <v>79</v>
      </c>
      <c r="N50" s="6">
        <v>4</v>
      </c>
      <c r="O50" s="6" t="s">
        <v>80</v>
      </c>
      <c r="P50" s="6">
        <v>2024</v>
      </c>
    </row>
    <row r="51" spans="1:16" x14ac:dyDescent="0.25">
      <c r="A51" s="7" t="s">
        <v>16</v>
      </c>
      <c r="B51" s="7" t="s">
        <v>55</v>
      </c>
      <c r="C51" s="7" t="s">
        <v>33</v>
      </c>
      <c r="D51" s="7" t="s">
        <v>84</v>
      </c>
      <c r="E51" s="8">
        <v>1375</v>
      </c>
      <c r="F51" s="7">
        <v>50</v>
      </c>
      <c r="G51" s="7">
        <v>200</v>
      </c>
      <c r="H51" s="9">
        <v>275100</v>
      </c>
      <c r="I51" s="9">
        <v>2751</v>
      </c>
      <c r="J51" s="9">
        <v>272349</v>
      </c>
      <c r="K51" s="9">
        <v>137500</v>
      </c>
      <c r="L51" s="9">
        <v>134849</v>
      </c>
      <c r="M51" s="10" t="s">
        <v>42</v>
      </c>
      <c r="N51" s="10">
        <v>7</v>
      </c>
      <c r="O51" s="10" t="s">
        <v>43</v>
      </c>
      <c r="P51" s="10">
        <v>2024</v>
      </c>
    </row>
    <row r="52" spans="1:16" x14ac:dyDescent="0.25">
      <c r="A52" s="3" t="s">
        <v>16</v>
      </c>
      <c r="B52" s="3" t="s">
        <v>59</v>
      </c>
      <c r="C52" s="3" t="s">
        <v>33</v>
      </c>
      <c r="D52" s="3" t="s">
        <v>89</v>
      </c>
      <c r="E52" s="4">
        <v>1159</v>
      </c>
      <c r="F52" s="3">
        <v>50</v>
      </c>
      <c r="G52" s="3">
        <v>70</v>
      </c>
      <c r="H52" s="5">
        <v>81130</v>
      </c>
      <c r="I52" s="5">
        <v>4057</v>
      </c>
      <c r="J52" s="5">
        <v>77074</v>
      </c>
      <c r="K52" s="5">
        <v>57950</v>
      </c>
      <c r="L52" s="5">
        <v>19124</v>
      </c>
      <c r="M52" s="6" t="s">
        <v>52</v>
      </c>
      <c r="N52" s="6">
        <v>10</v>
      </c>
      <c r="O52" s="6" t="s">
        <v>53</v>
      </c>
      <c r="P52" s="6">
        <v>2023</v>
      </c>
    </row>
    <row r="53" spans="1:16" x14ac:dyDescent="0.25">
      <c r="A53" s="7" t="s">
        <v>16</v>
      </c>
      <c r="B53" s="7" t="s">
        <v>60</v>
      </c>
      <c r="C53" s="7" t="s">
        <v>56</v>
      </c>
      <c r="D53" s="7" t="s">
        <v>89</v>
      </c>
      <c r="E53" s="8">
        <v>1372</v>
      </c>
      <c r="F53" s="7">
        <v>100</v>
      </c>
      <c r="G53" s="7">
        <v>70</v>
      </c>
      <c r="H53" s="9">
        <v>96040</v>
      </c>
      <c r="I53" s="9">
        <v>4802</v>
      </c>
      <c r="J53" s="9">
        <v>91238</v>
      </c>
      <c r="K53" s="9">
        <v>68600</v>
      </c>
      <c r="L53" s="9">
        <v>22638</v>
      </c>
      <c r="M53" s="10" t="s">
        <v>20</v>
      </c>
      <c r="N53" s="10">
        <v>1</v>
      </c>
      <c r="O53" s="10" t="s">
        <v>21</v>
      </c>
      <c r="P53" s="10">
        <v>2024</v>
      </c>
    </row>
    <row r="54" spans="1:16" x14ac:dyDescent="0.25">
      <c r="A54" s="3" t="s">
        <v>16</v>
      </c>
      <c r="B54" s="3" t="s">
        <v>61</v>
      </c>
      <c r="C54" s="3" t="s">
        <v>56</v>
      </c>
      <c r="D54" s="3" t="s">
        <v>89</v>
      </c>
      <c r="E54" s="4">
        <v>2349</v>
      </c>
      <c r="F54" s="3">
        <v>100</v>
      </c>
      <c r="G54" s="3">
        <v>70</v>
      </c>
      <c r="H54" s="5">
        <v>164430</v>
      </c>
      <c r="I54" s="5">
        <v>8222</v>
      </c>
      <c r="J54" s="5">
        <v>156209</v>
      </c>
      <c r="K54" s="5">
        <v>117450</v>
      </c>
      <c r="L54" s="5">
        <v>38759</v>
      </c>
      <c r="M54" s="6" t="s">
        <v>65</v>
      </c>
      <c r="N54" s="6">
        <v>9</v>
      </c>
      <c r="O54" s="6" t="s">
        <v>50</v>
      </c>
      <c r="P54" s="6">
        <v>2023</v>
      </c>
    </row>
    <row r="55" spans="1:16" x14ac:dyDescent="0.25">
      <c r="A55" s="7" t="s">
        <v>16</v>
      </c>
      <c r="B55" s="7" t="s">
        <v>62</v>
      </c>
      <c r="C55" s="7" t="s">
        <v>56</v>
      </c>
      <c r="D55" s="7" t="s">
        <v>89</v>
      </c>
      <c r="E55" s="8">
        <v>2689</v>
      </c>
      <c r="F55" s="7">
        <v>100</v>
      </c>
      <c r="G55" s="7">
        <v>70</v>
      </c>
      <c r="H55" s="9">
        <v>188230</v>
      </c>
      <c r="I55" s="9">
        <v>9412</v>
      </c>
      <c r="J55" s="9">
        <v>178818</v>
      </c>
      <c r="K55" s="9">
        <v>134450</v>
      </c>
      <c r="L55" s="9">
        <v>44368</v>
      </c>
      <c r="M55" s="10" t="s">
        <v>69</v>
      </c>
      <c r="N55" s="10">
        <v>10</v>
      </c>
      <c r="O55" s="10" t="s">
        <v>53</v>
      </c>
      <c r="P55" s="10">
        <v>2024</v>
      </c>
    </row>
    <row r="56" spans="1:16" x14ac:dyDescent="0.25">
      <c r="A56" s="3" t="s">
        <v>36</v>
      </c>
      <c r="B56" s="3" t="s">
        <v>63</v>
      </c>
      <c r="C56" s="3" t="s">
        <v>56</v>
      </c>
      <c r="D56" s="3" t="s">
        <v>89</v>
      </c>
      <c r="E56" s="4">
        <v>2431</v>
      </c>
      <c r="F56" s="3">
        <v>100</v>
      </c>
      <c r="G56" s="3">
        <v>120</v>
      </c>
      <c r="H56" s="5">
        <v>291720</v>
      </c>
      <c r="I56" s="5">
        <v>14586</v>
      </c>
      <c r="J56" s="5">
        <v>277134</v>
      </c>
      <c r="K56" s="5">
        <v>72930</v>
      </c>
      <c r="L56" s="5">
        <v>204204</v>
      </c>
      <c r="M56" s="6" t="s">
        <v>30</v>
      </c>
      <c r="N56" s="6">
        <v>12</v>
      </c>
      <c r="O56" s="6" t="s">
        <v>31</v>
      </c>
      <c r="P56" s="6">
        <v>2024</v>
      </c>
    </row>
    <row r="57" spans="1:16" x14ac:dyDescent="0.25">
      <c r="A57" s="7" t="s">
        <v>16</v>
      </c>
      <c r="B57" s="7" t="s">
        <v>64</v>
      </c>
      <c r="C57" s="7" t="s">
        <v>71</v>
      </c>
      <c r="D57" s="7" t="s">
        <v>89</v>
      </c>
      <c r="E57" s="8">
        <v>1683</v>
      </c>
      <c r="F57" s="7">
        <v>1200</v>
      </c>
      <c r="G57" s="7">
        <v>70</v>
      </c>
      <c r="H57" s="9">
        <v>117810</v>
      </c>
      <c r="I57" s="9">
        <v>5891</v>
      </c>
      <c r="J57" s="9">
        <v>111920</v>
      </c>
      <c r="K57" s="9">
        <v>84150</v>
      </c>
      <c r="L57" s="9">
        <v>27770</v>
      </c>
      <c r="M57" s="10" t="s">
        <v>42</v>
      </c>
      <c r="N57" s="10">
        <v>7</v>
      </c>
      <c r="O57" s="10" t="s">
        <v>43</v>
      </c>
      <c r="P57" s="10">
        <v>2024</v>
      </c>
    </row>
    <row r="58" spans="1:16" x14ac:dyDescent="0.25">
      <c r="A58" s="3" t="s">
        <v>36</v>
      </c>
      <c r="B58" s="3" t="s">
        <v>66</v>
      </c>
      <c r="C58" s="3" t="s">
        <v>71</v>
      </c>
      <c r="D58" s="3" t="s">
        <v>89</v>
      </c>
      <c r="E58" s="4">
        <v>1123</v>
      </c>
      <c r="F58" s="3">
        <v>1200</v>
      </c>
      <c r="G58" s="3">
        <v>120</v>
      </c>
      <c r="H58" s="5">
        <v>134760</v>
      </c>
      <c r="I58" s="5">
        <v>6738</v>
      </c>
      <c r="J58" s="5">
        <v>128022</v>
      </c>
      <c r="K58" s="5">
        <v>33690</v>
      </c>
      <c r="L58" s="5">
        <v>94332</v>
      </c>
      <c r="M58" s="6" t="s">
        <v>46</v>
      </c>
      <c r="N58" s="6">
        <v>8</v>
      </c>
      <c r="O58" s="6" t="s">
        <v>47</v>
      </c>
      <c r="P58" s="6">
        <v>2024</v>
      </c>
    </row>
    <row r="59" spans="1:16" x14ac:dyDescent="0.25">
      <c r="A59" s="7" t="s">
        <v>16</v>
      </c>
      <c r="B59" s="7" t="s">
        <v>67</v>
      </c>
      <c r="C59" s="7" t="s">
        <v>77</v>
      </c>
      <c r="D59" s="7" t="s">
        <v>89</v>
      </c>
      <c r="E59" s="8">
        <v>1159</v>
      </c>
      <c r="F59" s="7">
        <v>2500</v>
      </c>
      <c r="G59" s="7">
        <v>70</v>
      </c>
      <c r="H59" s="9">
        <v>81130</v>
      </c>
      <c r="I59" s="9">
        <v>4057</v>
      </c>
      <c r="J59" s="9">
        <v>77074</v>
      </c>
      <c r="K59" s="9">
        <v>57950</v>
      </c>
      <c r="L59" s="9">
        <v>19124</v>
      </c>
      <c r="M59" s="10" t="s">
        <v>52</v>
      </c>
      <c r="N59" s="10">
        <v>10</v>
      </c>
      <c r="O59" s="10" t="s">
        <v>53</v>
      </c>
      <c r="P59" s="10">
        <v>2023</v>
      </c>
    </row>
    <row r="60" spans="1:16" x14ac:dyDescent="0.25">
      <c r="A60" s="3" t="s">
        <v>36</v>
      </c>
      <c r="B60" s="3" t="s">
        <v>68</v>
      </c>
      <c r="C60" s="3" t="s">
        <v>18</v>
      </c>
      <c r="D60" s="3" t="s">
        <v>89</v>
      </c>
      <c r="E60" s="4">
        <v>2431</v>
      </c>
      <c r="F60" s="3">
        <v>30</v>
      </c>
      <c r="G60" s="3">
        <v>120</v>
      </c>
      <c r="H60" s="5">
        <v>291720</v>
      </c>
      <c r="I60" s="5">
        <v>14586</v>
      </c>
      <c r="J60" s="5">
        <v>277134</v>
      </c>
      <c r="K60" s="5">
        <v>72930</v>
      </c>
      <c r="L60" s="5">
        <v>204204</v>
      </c>
      <c r="M60" s="6" t="s">
        <v>30</v>
      </c>
      <c r="N60" s="6">
        <v>12</v>
      </c>
      <c r="O60" s="6" t="s">
        <v>31</v>
      </c>
      <c r="P60" s="6">
        <v>2024</v>
      </c>
    </row>
    <row r="61" spans="1:16" x14ac:dyDescent="0.25">
      <c r="A61" s="7" t="s">
        <v>16</v>
      </c>
      <c r="B61" s="7" t="s">
        <v>70</v>
      </c>
      <c r="C61" s="7" t="s">
        <v>18</v>
      </c>
      <c r="D61" s="7" t="s">
        <v>89</v>
      </c>
      <c r="E61" s="8">
        <v>2689</v>
      </c>
      <c r="F61" s="7">
        <v>30</v>
      </c>
      <c r="G61" s="7">
        <v>70</v>
      </c>
      <c r="H61" s="9">
        <v>188230</v>
      </c>
      <c r="I61" s="9">
        <v>9412</v>
      </c>
      <c r="J61" s="9">
        <v>178818</v>
      </c>
      <c r="K61" s="9">
        <v>134450</v>
      </c>
      <c r="L61" s="9">
        <v>44368</v>
      </c>
      <c r="M61" s="10" t="s">
        <v>69</v>
      </c>
      <c r="N61" s="10">
        <v>10</v>
      </c>
      <c r="O61" s="10" t="s">
        <v>53</v>
      </c>
      <c r="P61" s="10">
        <v>2024</v>
      </c>
    </row>
    <row r="62" spans="1:16" x14ac:dyDescent="0.25">
      <c r="A62" s="3" t="s">
        <v>36</v>
      </c>
      <c r="B62" s="3" t="s">
        <v>17</v>
      </c>
      <c r="C62" s="3" t="s">
        <v>18</v>
      </c>
      <c r="D62" s="3" t="s">
        <v>90</v>
      </c>
      <c r="E62" s="4">
        <v>386</v>
      </c>
      <c r="F62" s="3">
        <v>30</v>
      </c>
      <c r="G62" s="3">
        <v>120</v>
      </c>
      <c r="H62" s="5">
        <v>46320</v>
      </c>
      <c r="I62" s="5">
        <v>4632</v>
      </c>
      <c r="J62" s="5">
        <v>41688</v>
      </c>
      <c r="K62" s="5">
        <v>11580</v>
      </c>
      <c r="L62" s="5">
        <v>30108</v>
      </c>
      <c r="M62" s="6" t="s">
        <v>52</v>
      </c>
      <c r="N62" s="6">
        <v>10</v>
      </c>
      <c r="O62" s="6" t="s">
        <v>53</v>
      </c>
      <c r="P62" s="6">
        <v>2023</v>
      </c>
    </row>
    <row r="63" spans="1:16" x14ac:dyDescent="0.25">
      <c r="A63" s="7" t="s">
        <v>16</v>
      </c>
      <c r="B63" s="7" t="s">
        <v>22</v>
      </c>
      <c r="C63" s="7" t="s">
        <v>33</v>
      </c>
      <c r="D63" s="7" t="s">
        <v>90</v>
      </c>
      <c r="E63" s="8">
        <v>2328</v>
      </c>
      <c r="F63" s="7">
        <v>50</v>
      </c>
      <c r="G63" s="7">
        <v>70</v>
      </c>
      <c r="H63" s="9">
        <v>162960</v>
      </c>
      <c r="I63" s="9">
        <v>16296</v>
      </c>
      <c r="J63" s="9">
        <v>146664</v>
      </c>
      <c r="K63" s="9">
        <v>116400</v>
      </c>
      <c r="L63" s="9">
        <v>30264</v>
      </c>
      <c r="M63" s="10" t="s">
        <v>49</v>
      </c>
      <c r="N63" s="10">
        <v>9</v>
      </c>
      <c r="O63" s="10" t="s">
        <v>50</v>
      </c>
      <c r="P63" s="10">
        <v>2024</v>
      </c>
    </row>
    <row r="64" spans="1:16" x14ac:dyDescent="0.25">
      <c r="A64" s="3" t="s">
        <v>36</v>
      </c>
      <c r="B64" s="3" t="s">
        <v>24</v>
      </c>
      <c r="C64" s="3" t="s">
        <v>56</v>
      </c>
      <c r="D64" s="3" t="s">
        <v>90</v>
      </c>
      <c r="E64" s="4">
        <v>386</v>
      </c>
      <c r="F64" s="3">
        <v>100</v>
      </c>
      <c r="G64" s="3">
        <v>120</v>
      </c>
      <c r="H64" s="5">
        <v>46320</v>
      </c>
      <c r="I64" s="5">
        <v>4632</v>
      </c>
      <c r="J64" s="5">
        <v>41688</v>
      </c>
      <c r="K64" s="5">
        <v>11580</v>
      </c>
      <c r="L64" s="5">
        <v>30108</v>
      </c>
      <c r="M64" s="6" t="s">
        <v>52</v>
      </c>
      <c r="N64" s="6">
        <v>10</v>
      </c>
      <c r="O64" s="6" t="s">
        <v>53</v>
      </c>
      <c r="P64" s="6">
        <v>2023</v>
      </c>
    </row>
    <row r="65" spans="1:16" x14ac:dyDescent="0.25">
      <c r="A65" s="7" t="s">
        <v>40</v>
      </c>
      <c r="B65" s="7" t="s">
        <v>27</v>
      </c>
      <c r="C65" s="7" t="s">
        <v>18</v>
      </c>
      <c r="D65" s="7" t="s">
        <v>90</v>
      </c>
      <c r="E65" s="8">
        <v>3445</v>
      </c>
      <c r="F65" s="7">
        <v>30</v>
      </c>
      <c r="G65" s="7">
        <v>1250</v>
      </c>
      <c r="H65" s="9">
        <v>4306250</v>
      </c>
      <c r="I65" s="9">
        <v>430625</v>
      </c>
      <c r="J65" s="9">
        <v>3875625</v>
      </c>
      <c r="K65" s="9">
        <v>4134000</v>
      </c>
      <c r="L65" s="9">
        <v>-258375</v>
      </c>
      <c r="M65" s="10" t="s">
        <v>79</v>
      </c>
      <c r="N65" s="10">
        <v>4</v>
      </c>
      <c r="O65" s="10" t="s">
        <v>80</v>
      </c>
      <c r="P65" s="10">
        <v>2024</v>
      </c>
    </row>
    <row r="66" spans="1:16" x14ac:dyDescent="0.25">
      <c r="A66" s="3" t="s">
        <v>40</v>
      </c>
      <c r="B66" s="3" t="s">
        <v>28</v>
      </c>
      <c r="C66" s="3" t="s">
        <v>18</v>
      </c>
      <c r="D66" s="3" t="s">
        <v>90</v>
      </c>
      <c r="E66" s="4">
        <v>1482</v>
      </c>
      <c r="F66" s="3">
        <v>30</v>
      </c>
      <c r="G66" s="3">
        <v>1250</v>
      </c>
      <c r="H66" s="5">
        <v>1852500</v>
      </c>
      <c r="I66" s="5">
        <v>185250</v>
      </c>
      <c r="J66" s="5">
        <v>1667250</v>
      </c>
      <c r="K66" s="5">
        <v>1778400</v>
      </c>
      <c r="L66" s="5">
        <v>-111150</v>
      </c>
      <c r="M66" s="6" t="s">
        <v>91</v>
      </c>
      <c r="N66" s="6">
        <v>12</v>
      </c>
      <c r="O66" s="6" t="s">
        <v>31</v>
      </c>
      <c r="P66" s="6">
        <v>2023</v>
      </c>
    </row>
    <row r="67" spans="1:16" x14ac:dyDescent="0.25">
      <c r="A67" s="7" t="s">
        <v>16</v>
      </c>
      <c r="B67" s="7" t="s">
        <v>29</v>
      </c>
      <c r="C67" s="7" t="s">
        <v>33</v>
      </c>
      <c r="D67" s="7" t="s">
        <v>90</v>
      </c>
      <c r="E67" s="8">
        <v>2313</v>
      </c>
      <c r="F67" s="7">
        <v>50</v>
      </c>
      <c r="G67" s="7">
        <v>3500</v>
      </c>
      <c r="H67" s="9">
        <v>8095500</v>
      </c>
      <c r="I67" s="9">
        <v>809550</v>
      </c>
      <c r="J67" s="9">
        <v>7285950</v>
      </c>
      <c r="K67" s="9">
        <v>6013800</v>
      </c>
      <c r="L67" s="9">
        <v>1272150</v>
      </c>
      <c r="M67" s="10" t="s">
        <v>85</v>
      </c>
      <c r="N67" s="10">
        <v>5</v>
      </c>
      <c r="O67" s="10" t="s">
        <v>86</v>
      </c>
      <c r="P67" s="10">
        <v>2024</v>
      </c>
    </row>
    <row r="68" spans="1:16" x14ac:dyDescent="0.25">
      <c r="A68" s="3" t="s">
        <v>40</v>
      </c>
      <c r="B68" s="3" t="s">
        <v>32</v>
      </c>
      <c r="C68" s="3" t="s">
        <v>33</v>
      </c>
      <c r="D68" s="3" t="s">
        <v>90</v>
      </c>
      <c r="E68" s="4">
        <v>1804</v>
      </c>
      <c r="F68" s="3">
        <v>50</v>
      </c>
      <c r="G68" s="3">
        <v>1250</v>
      </c>
      <c r="H68" s="5">
        <v>2255000</v>
      </c>
      <c r="I68" s="5">
        <v>225500</v>
      </c>
      <c r="J68" s="5">
        <v>2029500</v>
      </c>
      <c r="K68" s="5">
        <v>2164800</v>
      </c>
      <c r="L68" s="5">
        <v>-135300</v>
      </c>
      <c r="M68" s="6" t="s">
        <v>92</v>
      </c>
      <c r="N68" s="6">
        <v>11</v>
      </c>
      <c r="O68" s="6" t="s">
        <v>88</v>
      </c>
      <c r="P68" s="6">
        <v>2023</v>
      </c>
    </row>
    <row r="69" spans="1:16" x14ac:dyDescent="0.25">
      <c r="A69" s="7" t="s">
        <v>23</v>
      </c>
      <c r="B69" s="7" t="s">
        <v>37</v>
      </c>
      <c r="C69" s="7" t="s">
        <v>33</v>
      </c>
      <c r="D69" s="7" t="s">
        <v>90</v>
      </c>
      <c r="E69" s="8">
        <v>2072</v>
      </c>
      <c r="F69" s="7">
        <v>50</v>
      </c>
      <c r="G69" s="7">
        <v>150</v>
      </c>
      <c r="H69" s="9">
        <v>310800</v>
      </c>
      <c r="I69" s="9">
        <v>31080</v>
      </c>
      <c r="J69" s="9">
        <v>279720</v>
      </c>
      <c r="K69" s="9">
        <v>207200</v>
      </c>
      <c r="L69" s="9">
        <v>72520</v>
      </c>
      <c r="M69" s="10" t="s">
        <v>30</v>
      </c>
      <c r="N69" s="10">
        <v>12</v>
      </c>
      <c r="O69" s="10" t="s">
        <v>31</v>
      </c>
      <c r="P69" s="10">
        <v>2024</v>
      </c>
    </row>
    <row r="70" spans="1:16" x14ac:dyDescent="0.25">
      <c r="A70" s="3" t="s">
        <v>16</v>
      </c>
      <c r="B70" s="3" t="s">
        <v>38</v>
      </c>
      <c r="C70" s="3" t="s">
        <v>56</v>
      </c>
      <c r="D70" s="3" t="s">
        <v>90</v>
      </c>
      <c r="E70" s="4">
        <v>1954</v>
      </c>
      <c r="F70" s="3">
        <v>100</v>
      </c>
      <c r="G70" s="3">
        <v>200</v>
      </c>
      <c r="H70" s="5">
        <v>390800</v>
      </c>
      <c r="I70" s="5">
        <v>39080</v>
      </c>
      <c r="J70" s="5">
        <v>351720</v>
      </c>
      <c r="K70" s="5">
        <v>195400</v>
      </c>
      <c r="L70" s="5">
        <v>156320</v>
      </c>
      <c r="M70" s="6" t="s">
        <v>34</v>
      </c>
      <c r="N70" s="6">
        <v>3</v>
      </c>
      <c r="O70" s="6" t="s">
        <v>35</v>
      </c>
      <c r="P70" s="6">
        <v>2024</v>
      </c>
    </row>
    <row r="71" spans="1:16" x14ac:dyDescent="0.25">
      <c r="A71" s="7" t="s">
        <v>44</v>
      </c>
      <c r="B71" s="7" t="s">
        <v>39</v>
      </c>
      <c r="C71" s="7" t="s">
        <v>56</v>
      </c>
      <c r="D71" s="7" t="s">
        <v>90</v>
      </c>
      <c r="E71" s="8">
        <v>591</v>
      </c>
      <c r="F71" s="7">
        <v>100</v>
      </c>
      <c r="G71" s="7">
        <v>3000</v>
      </c>
      <c r="H71" s="9">
        <v>1773000</v>
      </c>
      <c r="I71" s="9">
        <v>177300</v>
      </c>
      <c r="J71" s="9">
        <v>1595700</v>
      </c>
      <c r="K71" s="9">
        <v>1477500</v>
      </c>
      <c r="L71" s="9">
        <v>118200</v>
      </c>
      <c r="M71" s="10" t="s">
        <v>85</v>
      </c>
      <c r="N71" s="10">
        <v>5</v>
      </c>
      <c r="O71" s="10" t="s">
        <v>86</v>
      </c>
      <c r="P71" s="10">
        <v>2024</v>
      </c>
    </row>
    <row r="72" spans="1:16" x14ac:dyDescent="0.25">
      <c r="A72" s="3" t="s">
        <v>23</v>
      </c>
      <c r="B72" s="3" t="s">
        <v>41</v>
      </c>
      <c r="C72" s="3" t="s">
        <v>56</v>
      </c>
      <c r="D72" s="3" t="s">
        <v>90</v>
      </c>
      <c r="E72" s="4">
        <v>2167</v>
      </c>
      <c r="F72" s="3">
        <v>100</v>
      </c>
      <c r="G72" s="3">
        <v>150</v>
      </c>
      <c r="H72" s="5">
        <v>325050</v>
      </c>
      <c r="I72" s="5">
        <v>32505</v>
      </c>
      <c r="J72" s="5">
        <v>292545</v>
      </c>
      <c r="K72" s="5">
        <v>216700</v>
      </c>
      <c r="L72" s="5">
        <v>75845</v>
      </c>
      <c r="M72" s="6" t="s">
        <v>52</v>
      </c>
      <c r="N72" s="6">
        <v>10</v>
      </c>
      <c r="O72" s="6" t="s">
        <v>53</v>
      </c>
      <c r="P72" s="6">
        <v>2023</v>
      </c>
    </row>
    <row r="73" spans="1:16" x14ac:dyDescent="0.25">
      <c r="A73" s="7" t="s">
        <v>16</v>
      </c>
      <c r="B73" s="7" t="s">
        <v>45</v>
      </c>
      <c r="C73" s="7" t="s">
        <v>56</v>
      </c>
      <c r="D73" s="7" t="s">
        <v>90</v>
      </c>
      <c r="E73" s="8">
        <v>241</v>
      </c>
      <c r="F73" s="7">
        <v>100</v>
      </c>
      <c r="G73" s="7">
        <v>200</v>
      </c>
      <c r="H73" s="9">
        <v>48200</v>
      </c>
      <c r="I73" s="9">
        <v>4820</v>
      </c>
      <c r="J73" s="9">
        <v>43380</v>
      </c>
      <c r="K73" s="9">
        <v>24100</v>
      </c>
      <c r="L73" s="9">
        <v>19280</v>
      </c>
      <c r="M73" s="10" t="s">
        <v>69</v>
      </c>
      <c r="N73" s="10">
        <v>10</v>
      </c>
      <c r="O73" s="10" t="s">
        <v>53</v>
      </c>
      <c r="P73" s="10">
        <v>2024</v>
      </c>
    </row>
    <row r="74" spans="1:16" x14ac:dyDescent="0.25">
      <c r="A74" s="3" t="s">
        <v>16</v>
      </c>
      <c r="B74" s="3" t="s">
        <v>48</v>
      </c>
      <c r="C74" s="3" t="s">
        <v>71</v>
      </c>
      <c r="D74" s="3" t="s">
        <v>90</v>
      </c>
      <c r="E74" s="4">
        <v>2807</v>
      </c>
      <c r="F74" s="3">
        <v>1200</v>
      </c>
      <c r="G74" s="3">
        <v>3500</v>
      </c>
      <c r="H74" s="5">
        <v>9824500</v>
      </c>
      <c r="I74" s="5">
        <v>982450</v>
      </c>
      <c r="J74" s="5">
        <v>8842050</v>
      </c>
      <c r="K74" s="5">
        <v>7298200</v>
      </c>
      <c r="L74" s="5">
        <v>1543850</v>
      </c>
      <c r="M74" s="6" t="s">
        <v>46</v>
      </c>
      <c r="N74" s="6">
        <v>8</v>
      </c>
      <c r="O74" s="6" t="s">
        <v>47</v>
      </c>
      <c r="P74" s="6">
        <v>2024</v>
      </c>
    </row>
    <row r="75" spans="1:16" x14ac:dyDescent="0.25">
      <c r="A75" s="7" t="s">
        <v>44</v>
      </c>
      <c r="B75" s="7" t="s">
        <v>54</v>
      </c>
      <c r="C75" s="7" t="s">
        <v>71</v>
      </c>
      <c r="D75" s="7" t="s">
        <v>90</v>
      </c>
      <c r="E75" s="8">
        <v>432</v>
      </c>
      <c r="F75" s="7">
        <v>1200</v>
      </c>
      <c r="G75" s="7">
        <v>3000</v>
      </c>
      <c r="H75" s="9">
        <v>1296000</v>
      </c>
      <c r="I75" s="9">
        <v>129600</v>
      </c>
      <c r="J75" s="9">
        <v>1166400</v>
      </c>
      <c r="K75" s="9">
        <v>1080000</v>
      </c>
      <c r="L75" s="9">
        <v>86400</v>
      </c>
      <c r="M75" s="10" t="s">
        <v>49</v>
      </c>
      <c r="N75" s="10">
        <v>9</v>
      </c>
      <c r="O75" s="10" t="s">
        <v>50</v>
      </c>
      <c r="P75" s="10">
        <v>2024</v>
      </c>
    </row>
    <row r="76" spans="1:16" x14ac:dyDescent="0.25">
      <c r="A76" s="3" t="s">
        <v>44</v>
      </c>
      <c r="B76" s="3" t="s">
        <v>55</v>
      </c>
      <c r="C76" s="3" t="s">
        <v>77</v>
      </c>
      <c r="D76" s="3" t="s">
        <v>90</v>
      </c>
      <c r="E76" s="4">
        <v>2294</v>
      </c>
      <c r="F76" s="3">
        <v>2500</v>
      </c>
      <c r="G76" s="3">
        <v>3000</v>
      </c>
      <c r="H76" s="5">
        <v>6882000</v>
      </c>
      <c r="I76" s="5">
        <v>688200</v>
      </c>
      <c r="J76" s="5">
        <v>6193800</v>
      </c>
      <c r="K76" s="5">
        <v>5735000</v>
      </c>
      <c r="L76" s="5">
        <v>458800</v>
      </c>
      <c r="M76" s="6" t="s">
        <v>52</v>
      </c>
      <c r="N76" s="6">
        <v>10</v>
      </c>
      <c r="O76" s="6" t="s">
        <v>53</v>
      </c>
      <c r="P76" s="6">
        <v>2023</v>
      </c>
    </row>
    <row r="77" spans="1:16" x14ac:dyDescent="0.25">
      <c r="A77" s="7" t="s">
        <v>40</v>
      </c>
      <c r="B77" s="7" t="s">
        <v>59</v>
      </c>
      <c r="C77" s="7" t="s">
        <v>77</v>
      </c>
      <c r="D77" s="7" t="s">
        <v>90</v>
      </c>
      <c r="E77" s="8">
        <v>2529</v>
      </c>
      <c r="F77" s="7">
        <v>2500</v>
      </c>
      <c r="G77" s="7">
        <v>1250</v>
      </c>
      <c r="H77" s="9">
        <v>3161250</v>
      </c>
      <c r="I77" s="9">
        <v>316125</v>
      </c>
      <c r="J77" s="9">
        <v>2845125</v>
      </c>
      <c r="K77" s="9">
        <v>3034800</v>
      </c>
      <c r="L77" s="9">
        <v>-189675</v>
      </c>
      <c r="M77" s="10" t="s">
        <v>87</v>
      </c>
      <c r="N77" s="10">
        <v>11</v>
      </c>
      <c r="O77" s="10" t="s">
        <v>88</v>
      </c>
      <c r="P77" s="10">
        <v>2024</v>
      </c>
    </row>
    <row r="78" spans="1:16" x14ac:dyDescent="0.25">
      <c r="A78" s="3" t="s">
        <v>16</v>
      </c>
      <c r="B78" s="3" t="s">
        <v>60</v>
      </c>
      <c r="C78" s="3" t="s">
        <v>77</v>
      </c>
      <c r="D78" s="3" t="s">
        <v>90</v>
      </c>
      <c r="E78" s="4">
        <v>1870</v>
      </c>
      <c r="F78" s="3">
        <v>2500</v>
      </c>
      <c r="G78" s="3">
        <v>3500</v>
      </c>
      <c r="H78" s="5">
        <v>6545000</v>
      </c>
      <c r="I78" s="5">
        <v>654500</v>
      </c>
      <c r="J78" s="5">
        <v>5890500</v>
      </c>
      <c r="K78" s="5">
        <v>4862000</v>
      </c>
      <c r="L78" s="5">
        <v>1028500</v>
      </c>
      <c r="M78" s="6" t="s">
        <v>91</v>
      </c>
      <c r="N78" s="6">
        <v>12</v>
      </c>
      <c r="O78" s="6" t="s">
        <v>31</v>
      </c>
      <c r="P78" s="6">
        <v>2023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5" customWidth="1"/>
    <col min="2" max="3" width="22" customWidth="1"/>
    <col min="4" max="4" width="20" customWidth="1"/>
    <col min="5" max="6" width="18" customWidth="1"/>
    <col min="7" max="7" width="16" customWidth="1"/>
  </cols>
  <sheetData>
    <row r="1" spans="1:7" ht="27.75" customHeight="1" x14ac:dyDescent="0.25">
      <c r="A1" s="1" t="s">
        <v>93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94</v>
      </c>
      <c r="C2" s="2" t="s">
        <v>95</v>
      </c>
      <c r="D2" s="2" t="s">
        <v>9</v>
      </c>
      <c r="E2" s="2" t="s">
        <v>96</v>
      </c>
      <c r="F2" s="2" t="s">
        <v>97</v>
      </c>
      <c r="G2" s="2" t="s">
        <v>98</v>
      </c>
    </row>
    <row r="3" spans="1:7" x14ac:dyDescent="0.25">
      <c r="A3" s="11" t="s">
        <v>82</v>
      </c>
      <c r="B3" s="12">
        <v>133200</v>
      </c>
      <c r="C3" s="12">
        <v>0</v>
      </c>
      <c r="D3" s="12">
        <v>133200</v>
      </c>
      <c r="E3" s="12">
        <v>88800</v>
      </c>
      <c r="F3" s="12">
        <v>44400</v>
      </c>
      <c r="G3" s="13">
        <v>0.33333333333333298</v>
      </c>
    </row>
    <row r="4" spans="1:7" x14ac:dyDescent="0.25">
      <c r="A4" s="14" t="s">
        <v>45</v>
      </c>
      <c r="B4" s="15">
        <v>3026710</v>
      </c>
      <c r="C4" s="15">
        <v>5865</v>
      </c>
      <c r="D4" s="15">
        <v>3020845</v>
      </c>
      <c r="E4" s="15">
        <v>2493750</v>
      </c>
      <c r="F4" s="15">
        <v>527095</v>
      </c>
      <c r="G4" s="16">
        <v>0.174485946812895</v>
      </c>
    </row>
    <row r="5" spans="1:7" x14ac:dyDescent="0.25">
      <c r="A5" s="11" t="s">
        <v>74</v>
      </c>
      <c r="B5" s="12">
        <v>3521000</v>
      </c>
      <c r="C5" s="12">
        <v>0</v>
      </c>
      <c r="D5" s="12">
        <v>3521000</v>
      </c>
      <c r="E5" s="12">
        <v>2615600</v>
      </c>
      <c r="F5" s="12">
        <v>905400</v>
      </c>
      <c r="G5" s="13">
        <v>0.25714285714285701</v>
      </c>
    </row>
    <row r="6" spans="1:7" x14ac:dyDescent="0.25">
      <c r="A6" s="14" t="s">
        <v>64</v>
      </c>
      <c r="B6" s="15">
        <v>200160</v>
      </c>
      <c r="C6" s="15">
        <v>5891</v>
      </c>
      <c r="D6" s="15">
        <v>194270</v>
      </c>
      <c r="E6" s="15">
        <v>139050</v>
      </c>
      <c r="F6" s="15">
        <v>55220</v>
      </c>
      <c r="G6" s="16">
        <v>0.28424357852473398</v>
      </c>
    </row>
    <row r="7" spans="1:7" x14ac:dyDescent="0.25">
      <c r="A7" s="11" t="s">
        <v>54</v>
      </c>
      <c r="B7" s="12">
        <v>8291250</v>
      </c>
      <c r="C7" s="12">
        <v>198630</v>
      </c>
      <c r="D7" s="12">
        <v>8092620</v>
      </c>
      <c r="E7" s="12">
        <v>6894000</v>
      </c>
      <c r="F7" s="12">
        <v>1198620</v>
      </c>
      <c r="G7" s="13">
        <v>0.14811272492715599</v>
      </c>
    </row>
    <row r="8" spans="1:7" x14ac:dyDescent="0.25">
      <c r="A8" s="14" t="s">
        <v>83</v>
      </c>
      <c r="B8" s="15">
        <v>363400</v>
      </c>
      <c r="C8" s="15">
        <v>0</v>
      </c>
      <c r="D8" s="15">
        <v>363400</v>
      </c>
      <c r="E8" s="15">
        <v>181700</v>
      </c>
      <c r="F8" s="15">
        <v>181700</v>
      </c>
      <c r="G8" s="16">
        <v>0.5</v>
      </c>
    </row>
    <row r="9" spans="1:7" x14ac:dyDescent="0.25">
      <c r="A9" s="11" t="s">
        <v>59</v>
      </c>
      <c r="B9" s="12">
        <v>3388480</v>
      </c>
      <c r="C9" s="12">
        <v>320182</v>
      </c>
      <c r="D9" s="12">
        <v>3068299</v>
      </c>
      <c r="E9" s="12">
        <v>3190150</v>
      </c>
      <c r="F9" s="12">
        <v>-121851</v>
      </c>
      <c r="G9" s="13">
        <v>-3.9712883262028903E-2</v>
      </c>
    </row>
    <row r="10" spans="1:7" x14ac:dyDescent="0.25">
      <c r="A10" s="14" t="s">
        <v>76</v>
      </c>
      <c r="B10" s="15">
        <v>6003000</v>
      </c>
      <c r="C10" s="15">
        <v>0</v>
      </c>
      <c r="D10" s="15">
        <v>6003000</v>
      </c>
      <c r="E10" s="15">
        <v>5002500</v>
      </c>
      <c r="F10" s="15">
        <v>1000500</v>
      </c>
      <c r="G10" s="16">
        <v>0.16666666666666699</v>
      </c>
    </row>
    <row r="11" spans="1:7" x14ac:dyDescent="0.25">
      <c r="A11" s="11" t="s">
        <v>78</v>
      </c>
      <c r="B11" s="12">
        <v>340560</v>
      </c>
      <c r="C11" s="12">
        <v>0</v>
      </c>
      <c r="D11" s="12">
        <v>340560</v>
      </c>
      <c r="E11" s="12">
        <v>85140</v>
      </c>
      <c r="F11" s="12">
        <v>255420</v>
      </c>
      <c r="G11" s="13">
        <v>0.75</v>
      </c>
    </row>
    <row r="12" spans="1:7" x14ac:dyDescent="0.25">
      <c r="A12" s="14" t="s">
        <v>55</v>
      </c>
      <c r="B12" s="15">
        <v>7215500</v>
      </c>
      <c r="C12" s="15">
        <v>690951</v>
      </c>
      <c r="D12" s="15">
        <v>6524549</v>
      </c>
      <c r="E12" s="15">
        <v>5901700</v>
      </c>
      <c r="F12" s="15">
        <v>622849</v>
      </c>
      <c r="G12" s="16">
        <v>9.5462383683531202E-2</v>
      </c>
    </row>
    <row r="13" spans="1:7" x14ac:dyDescent="0.25">
      <c r="A13" s="11" t="s">
        <v>63</v>
      </c>
      <c r="B13" s="12">
        <v>353530</v>
      </c>
      <c r="C13" s="12">
        <v>14586</v>
      </c>
      <c r="D13" s="12">
        <v>338944</v>
      </c>
      <c r="E13" s="12">
        <v>117080</v>
      </c>
      <c r="F13" s="12">
        <v>221864</v>
      </c>
      <c r="G13" s="13">
        <v>0.65457420694863999</v>
      </c>
    </row>
    <row r="14" spans="1:7" x14ac:dyDescent="0.25">
      <c r="A14" s="14" t="s">
        <v>22</v>
      </c>
      <c r="B14" s="15">
        <v>771560</v>
      </c>
      <c r="C14" s="15">
        <v>19740</v>
      </c>
      <c r="D14" s="15">
        <v>751820</v>
      </c>
      <c r="E14" s="15">
        <v>478100</v>
      </c>
      <c r="F14" s="15">
        <v>273720</v>
      </c>
      <c r="G14" s="16">
        <v>0.364076507674709</v>
      </c>
    </row>
    <row r="15" spans="1:7" x14ac:dyDescent="0.25">
      <c r="A15" s="11" t="s">
        <v>37</v>
      </c>
      <c r="B15" s="12">
        <v>789990</v>
      </c>
      <c r="C15" s="12">
        <v>32850</v>
      </c>
      <c r="D15" s="12">
        <v>757140</v>
      </c>
      <c r="E15" s="12">
        <v>409190</v>
      </c>
      <c r="F15" s="12">
        <v>347950</v>
      </c>
      <c r="G15" s="13">
        <v>0.45955833795599199</v>
      </c>
    </row>
    <row r="16" spans="1:7" x14ac:dyDescent="0.25">
      <c r="A16" s="14" t="s">
        <v>62</v>
      </c>
      <c r="B16" s="15">
        <v>232270</v>
      </c>
      <c r="C16" s="15">
        <v>9412</v>
      </c>
      <c r="D16" s="15">
        <v>222858</v>
      </c>
      <c r="E16" s="15">
        <v>145460</v>
      </c>
      <c r="F16" s="15">
        <v>77398</v>
      </c>
      <c r="G16" s="16">
        <v>0.34729738218955603</v>
      </c>
    </row>
    <row r="17" spans="1:7" x14ac:dyDescent="0.25">
      <c r="A17" s="11" t="s">
        <v>60</v>
      </c>
      <c r="B17" s="12">
        <v>6943200</v>
      </c>
      <c r="C17" s="12">
        <v>659302</v>
      </c>
      <c r="D17" s="12">
        <v>6283898</v>
      </c>
      <c r="E17" s="12">
        <v>5006140</v>
      </c>
      <c r="F17" s="12">
        <v>1277758</v>
      </c>
      <c r="G17" s="13">
        <v>0.20333843738393001</v>
      </c>
    </row>
    <row r="18" spans="1:7" x14ac:dyDescent="0.25">
      <c r="A18" s="14" t="s">
        <v>41</v>
      </c>
      <c r="B18" s="15">
        <v>3977445</v>
      </c>
      <c r="C18" s="15">
        <v>35710</v>
      </c>
      <c r="D18" s="15">
        <v>3941735</v>
      </c>
      <c r="E18" s="15">
        <v>3495430</v>
      </c>
      <c r="F18" s="15">
        <v>446305</v>
      </c>
      <c r="G18" s="16">
        <v>0.113225521248892</v>
      </c>
    </row>
    <row r="19" spans="1:7" x14ac:dyDescent="0.25">
      <c r="A19" s="11" t="s">
        <v>39</v>
      </c>
      <c r="B19" s="12">
        <v>2556000</v>
      </c>
      <c r="C19" s="12">
        <v>181425</v>
      </c>
      <c r="D19" s="12">
        <v>2374575</v>
      </c>
      <c r="E19" s="12">
        <v>2120500</v>
      </c>
      <c r="F19" s="12">
        <v>254075</v>
      </c>
      <c r="G19" s="13">
        <v>0.106998094395839</v>
      </c>
    </row>
    <row r="20" spans="1:7" x14ac:dyDescent="0.25">
      <c r="A20" s="14" t="s">
        <v>75</v>
      </c>
      <c r="B20" s="15">
        <v>431250</v>
      </c>
      <c r="C20" s="15">
        <v>0</v>
      </c>
      <c r="D20" s="15">
        <v>431250</v>
      </c>
      <c r="E20" s="15">
        <v>414000</v>
      </c>
      <c r="F20" s="15">
        <v>17250</v>
      </c>
      <c r="G20" s="16">
        <v>0.04</v>
      </c>
    </row>
    <row r="21" spans="1:7" x14ac:dyDescent="0.25">
      <c r="A21" s="11" t="s">
        <v>29</v>
      </c>
      <c r="B21" s="12">
        <v>13613960</v>
      </c>
      <c r="C21" s="12">
        <v>811780</v>
      </c>
      <c r="D21" s="12">
        <v>12802180</v>
      </c>
      <c r="E21" s="12">
        <v>10003340</v>
      </c>
      <c r="F21" s="12">
        <v>2798840</v>
      </c>
      <c r="G21" s="13">
        <v>0.21862214091662499</v>
      </c>
    </row>
    <row r="22" spans="1:7" x14ac:dyDescent="0.25">
      <c r="A22" s="14" t="s">
        <v>17</v>
      </c>
      <c r="B22" s="15">
        <v>646070</v>
      </c>
      <c r="C22" s="15">
        <v>7393</v>
      </c>
      <c r="D22" s="15">
        <v>638677</v>
      </c>
      <c r="E22" s="15">
        <v>370630</v>
      </c>
      <c r="F22" s="15">
        <v>268047</v>
      </c>
      <c r="G22" s="16">
        <v>0.41969101752529098</v>
      </c>
    </row>
    <row r="23" spans="1:7" x14ac:dyDescent="0.25">
      <c r="A23" s="11" t="s">
        <v>70</v>
      </c>
      <c r="B23" s="12">
        <v>292740</v>
      </c>
      <c r="C23" s="12">
        <v>9412</v>
      </c>
      <c r="D23" s="12">
        <v>283328</v>
      </c>
      <c r="E23" s="12">
        <v>209100</v>
      </c>
      <c r="F23" s="12">
        <v>74228</v>
      </c>
      <c r="G23" s="13">
        <v>0.26198610797379701</v>
      </c>
    </row>
    <row r="24" spans="1:7" x14ac:dyDescent="0.25">
      <c r="A24" s="14" t="s">
        <v>67</v>
      </c>
      <c r="B24" s="15">
        <v>451930</v>
      </c>
      <c r="C24" s="15">
        <v>4057</v>
      </c>
      <c r="D24" s="15">
        <v>447874</v>
      </c>
      <c r="E24" s="15">
        <v>305150</v>
      </c>
      <c r="F24" s="15">
        <v>142724</v>
      </c>
      <c r="G24" s="16">
        <v>0.31866998307559702</v>
      </c>
    </row>
    <row r="25" spans="1:7" x14ac:dyDescent="0.25">
      <c r="A25" s="11" t="s">
        <v>73</v>
      </c>
      <c r="B25" s="12">
        <v>259320</v>
      </c>
      <c r="C25" s="12">
        <v>0</v>
      </c>
      <c r="D25" s="12">
        <v>259320</v>
      </c>
      <c r="E25" s="12">
        <v>64830</v>
      </c>
      <c r="F25" s="12">
        <v>194490</v>
      </c>
      <c r="G25" s="13">
        <v>0.75</v>
      </c>
    </row>
    <row r="26" spans="1:7" x14ac:dyDescent="0.25">
      <c r="A26" s="14" t="s">
        <v>68</v>
      </c>
      <c r="B26" s="15">
        <v>371730</v>
      </c>
      <c r="C26" s="15">
        <v>14586</v>
      </c>
      <c r="D26" s="15">
        <v>357144</v>
      </c>
      <c r="E26" s="15">
        <v>130080</v>
      </c>
      <c r="F26" s="15">
        <v>227064</v>
      </c>
      <c r="G26" s="16">
        <v>0.63577716551306995</v>
      </c>
    </row>
    <row r="27" spans="1:7" x14ac:dyDescent="0.25">
      <c r="A27" s="11" t="s">
        <v>51</v>
      </c>
      <c r="B27" s="12">
        <v>431250</v>
      </c>
      <c r="C27" s="12">
        <v>0</v>
      </c>
      <c r="D27" s="12">
        <v>431250</v>
      </c>
      <c r="E27" s="12">
        <v>414000</v>
      </c>
      <c r="F27" s="12">
        <v>17250</v>
      </c>
      <c r="G27" s="13">
        <v>0.04</v>
      </c>
    </row>
    <row r="28" spans="1:7" x14ac:dyDescent="0.25">
      <c r="A28" s="14" t="s">
        <v>81</v>
      </c>
      <c r="B28" s="15">
        <v>326700</v>
      </c>
      <c r="C28" s="15">
        <v>0</v>
      </c>
      <c r="D28" s="15">
        <v>326700</v>
      </c>
      <c r="E28" s="15">
        <v>217800</v>
      </c>
      <c r="F28" s="15">
        <v>108900</v>
      </c>
      <c r="G28" s="16">
        <v>0.33333333333333298</v>
      </c>
    </row>
    <row r="29" spans="1:7" x14ac:dyDescent="0.25">
      <c r="A29" s="11" t="s">
        <v>32</v>
      </c>
      <c r="B29" s="12">
        <v>6628150</v>
      </c>
      <c r="C29" s="12">
        <v>267850</v>
      </c>
      <c r="D29" s="12">
        <v>6360300</v>
      </c>
      <c r="E29" s="12">
        <v>5402900</v>
      </c>
      <c r="F29" s="12">
        <v>957400</v>
      </c>
      <c r="G29" s="13">
        <v>0.150527490841627</v>
      </c>
    </row>
    <row r="30" spans="1:7" x14ac:dyDescent="0.25">
      <c r="A30" s="14" t="s">
        <v>27</v>
      </c>
      <c r="B30" s="15">
        <v>4484180</v>
      </c>
      <c r="C30" s="15">
        <v>431072</v>
      </c>
      <c r="D30" s="15">
        <v>4053108</v>
      </c>
      <c r="E30" s="15">
        <v>4254750</v>
      </c>
      <c r="F30" s="15">
        <v>-201642</v>
      </c>
      <c r="G30" s="16">
        <v>-4.9749969652918197E-2</v>
      </c>
    </row>
    <row r="31" spans="1:7" x14ac:dyDescent="0.25">
      <c r="A31" s="11" t="s">
        <v>72</v>
      </c>
      <c r="B31" s="12">
        <v>2255000</v>
      </c>
      <c r="C31" s="12">
        <v>0</v>
      </c>
      <c r="D31" s="12">
        <v>2255000</v>
      </c>
      <c r="E31" s="12">
        <v>2164800</v>
      </c>
      <c r="F31" s="12">
        <v>90200</v>
      </c>
      <c r="G31" s="13">
        <v>0.04</v>
      </c>
    </row>
    <row r="32" spans="1:7" x14ac:dyDescent="0.25">
      <c r="A32" s="14" t="s">
        <v>24</v>
      </c>
      <c r="B32" s="15">
        <v>445120</v>
      </c>
      <c r="C32" s="15">
        <v>5353</v>
      </c>
      <c r="D32" s="15">
        <v>439767</v>
      </c>
      <c r="E32" s="15">
        <v>280880</v>
      </c>
      <c r="F32" s="15">
        <v>158887</v>
      </c>
      <c r="G32" s="16">
        <v>0.36129814197063398</v>
      </c>
    </row>
    <row r="33" spans="1:7" x14ac:dyDescent="0.25">
      <c r="A33" s="11" t="s">
        <v>48</v>
      </c>
      <c r="B33" s="12">
        <v>10306820</v>
      </c>
      <c r="C33" s="12">
        <v>985771</v>
      </c>
      <c r="D33" s="12">
        <v>9321049</v>
      </c>
      <c r="E33" s="12">
        <v>7626900</v>
      </c>
      <c r="F33" s="12">
        <v>1694149</v>
      </c>
      <c r="G33" s="13">
        <v>0.18175518656752099</v>
      </c>
    </row>
    <row r="34" spans="1:7" x14ac:dyDescent="0.25">
      <c r="A34" s="14" t="s">
        <v>66</v>
      </c>
      <c r="B34" s="15">
        <v>2498760</v>
      </c>
      <c r="C34" s="15">
        <v>6738</v>
      </c>
      <c r="D34" s="15">
        <v>2492022</v>
      </c>
      <c r="E34" s="15">
        <v>2003690</v>
      </c>
      <c r="F34" s="15">
        <v>488332</v>
      </c>
      <c r="G34" s="16">
        <v>0.19595814162154301</v>
      </c>
    </row>
    <row r="35" spans="1:7" x14ac:dyDescent="0.25">
      <c r="A35" s="11" t="s">
        <v>28</v>
      </c>
      <c r="B35" s="12">
        <v>2315820</v>
      </c>
      <c r="C35" s="12">
        <v>186178</v>
      </c>
      <c r="D35" s="12">
        <v>2129642</v>
      </c>
      <c r="E35" s="12">
        <v>2091700</v>
      </c>
      <c r="F35" s="12">
        <v>37942</v>
      </c>
      <c r="G35" s="13">
        <v>1.7816139989726001E-2</v>
      </c>
    </row>
    <row r="36" spans="1:7" x14ac:dyDescent="0.25">
      <c r="A36" s="14" t="s">
        <v>61</v>
      </c>
      <c r="B36" s="15">
        <v>3685430</v>
      </c>
      <c r="C36" s="15">
        <v>8222</v>
      </c>
      <c r="D36" s="15">
        <v>3677209</v>
      </c>
      <c r="E36" s="15">
        <v>2733050</v>
      </c>
      <c r="F36" s="15">
        <v>944159</v>
      </c>
      <c r="G36" s="16">
        <v>0.25675967833212598</v>
      </c>
    </row>
    <row r="37" spans="1:7" x14ac:dyDescent="0.25">
      <c r="A37" s="11" t="s">
        <v>38</v>
      </c>
      <c r="B37" s="12">
        <v>944000</v>
      </c>
      <c r="C37" s="12">
        <v>40814</v>
      </c>
      <c r="D37" s="12">
        <v>903186</v>
      </c>
      <c r="E37" s="12">
        <v>428650</v>
      </c>
      <c r="F37" s="12">
        <v>474536</v>
      </c>
      <c r="G37" s="13">
        <v>0.52540229808699401</v>
      </c>
    </row>
    <row r="38" spans="1:7" x14ac:dyDescent="0.25">
      <c r="A38" s="17" t="s">
        <v>99</v>
      </c>
      <c r="B38" s="18">
        <f>SUM(B2:B36)</f>
        <v>97551485</v>
      </c>
      <c r="C38" s="18">
        <f>SUM(C2:C36)</f>
        <v>4912956</v>
      </c>
      <c r="D38" s="18">
        <f>SUM(D2:D36)</f>
        <v>92638533</v>
      </c>
      <c r="E38" s="18">
        <f>SUM(E2:E36)</f>
        <v>77051890</v>
      </c>
      <c r="F38" s="18">
        <f>SUM(F2:F36)</f>
        <v>15586643</v>
      </c>
      <c r="G38" s="19">
        <f>F37/D37</f>
        <v>0.52540229808699423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2026-06-17T07:29:04Z</dcterms:created>
  <dcterms:modified xsi:type="dcterms:W3CDTF">2026-06-22T08:16:39Z</dcterms:modified>
  <dc:language>en-US</dc:language>
</cp:coreProperties>
</file>